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cepay\Downloads\"/>
    </mc:Choice>
  </mc:AlternateContent>
  <bookViews>
    <workbookView xWindow="0" yWindow="0" windowWidth="28800" windowHeight="12270"/>
  </bookViews>
  <sheets>
    <sheet name="Report" sheetId="1" r:id="rId1"/>
    <sheet name="27cpu" sheetId="2" state="hidden" r:id="rId2"/>
    <sheet name="27totalmemsize" sheetId="3" state="hidden" r:id="rId3"/>
    <sheet name="27gc cr anti locks shrunk" sheetId="4" state="hidden" r:id="rId4"/>
    <sheet name="27physical reads" sheetId="5" state="hidden" r:id="rId5"/>
    <sheet name="27session logical reads" sheetId="6" state="hidden" r:id="rId6"/>
  </sheets>
  <calcPr calcId="152511"/>
</workbook>
</file>

<file path=xl/calcChain.xml><?xml version="1.0" encoding="utf-8"?>
<calcChain xmlns="http://schemas.openxmlformats.org/spreadsheetml/2006/main">
  <c r="AH12" i="1" l="1"/>
  <c r="I25" i="1"/>
</calcChain>
</file>

<file path=xl/sharedStrings.xml><?xml version="1.0" encoding="utf-8"?>
<sst xmlns="http://schemas.openxmlformats.org/spreadsheetml/2006/main" count="3065" uniqueCount="354">
  <si>
    <t>Long-Term Report</t>
  </si>
  <si>
    <t>Instance Name</t>
  </si>
  <si>
    <t/>
  </si>
  <si>
    <t>Date</t>
  </si>
  <si>
    <t>PGDB22</t>
  </si>
  <si>
    <t>2026-06-01 ~ 2026-06-19</t>
  </si>
  <si>
    <t>Performance Trend</t>
  </si>
  <si>
    <t>CPU (%)</t>
  </si>
  <si>
    <t/>
  </si>
  <si>
    <t>06/01</t>
  </si>
  <si>
    <t>06/02</t>
  </si>
  <si>
    <t>06/03</t>
  </si>
  <si>
    <t>06/04</t>
  </si>
  <si>
    <t>06/05</t>
  </si>
  <si>
    <t>06/06</t>
  </si>
  <si>
    <t>06/07</t>
  </si>
  <si>
    <t>06/08</t>
  </si>
  <si>
    <t>06/09</t>
  </si>
  <si>
    <t>06/10</t>
  </si>
  <si>
    <t>06/11</t>
  </si>
  <si>
    <t>06/12</t>
  </si>
  <si>
    <t>AVG</t>
  </si>
  <si>
    <t>MAX</t>
  </si>
  <si>
    <t>06/13</t>
  </si>
  <si>
    <t>06/14</t>
  </si>
  <si>
    <t>06/15</t>
  </si>
  <si>
    <t>06/16</t>
  </si>
  <si>
    <t>06/17</t>
  </si>
  <si>
    <t>06/18</t>
  </si>
  <si>
    <t>06/19</t>
  </si>
  <si>
    <t>Used Memory (%)</t>
  </si>
  <si>
    <t>Gc Cr Anti Locks Shrunk</t>
  </si>
  <si>
    <t>8.2k</t>
  </si>
  <si>
    <t>2.4k</t>
  </si>
  <si>
    <t>1.6k</t>
  </si>
  <si>
    <t>4.5k</t>
  </si>
  <si>
    <t>3.1k</t>
  </si>
  <si>
    <t>3.4k</t>
  </si>
  <si>
    <t>2.1k</t>
  </si>
  <si>
    <t>3.5k</t>
  </si>
  <si>
    <t>3.6k</t>
  </si>
  <si>
    <t>2.7k</t>
  </si>
  <si>
    <t>1.9k</t>
  </si>
  <si>
    <t>29.2k</t>
  </si>
  <si>
    <t>8.1k</t>
  </si>
  <si>
    <t>7.3k</t>
  </si>
  <si>
    <t>9.6k</t>
  </si>
  <si>
    <t>2.8k</t>
  </si>
  <si>
    <t>Physical Reads (blocks)</t>
  </si>
  <si>
    <t>36.0k</t>
  </si>
  <si>
    <t>31.2k</t>
  </si>
  <si>
    <t>15.6k</t>
  </si>
  <si>
    <t>31.1k</t>
  </si>
  <si>
    <t>27.9k</t>
  </si>
  <si>
    <t>14.8k</t>
  </si>
  <si>
    <t>13.1k</t>
  </si>
  <si>
    <t>40.7k</t>
  </si>
  <si>
    <t>30.9k</t>
  </si>
  <si>
    <t>33.4k</t>
  </si>
  <si>
    <t>21.4k</t>
  </si>
  <si>
    <t>92.3k</t>
  </si>
  <si>
    <t>22.6M</t>
  </si>
  <si>
    <t>22.3M</t>
  </si>
  <si>
    <t>20.8M</t>
  </si>
  <si>
    <t>22.4M</t>
  </si>
  <si>
    <t>23.3M</t>
  </si>
  <si>
    <t>21.9M</t>
  </si>
  <si>
    <t>25.2M</t>
  </si>
  <si>
    <t>21.3M</t>
  </si>
  <si>
    <t>22.0M</t>
  </si>
  <si>
    <t>13.4M</t>
  </si>
  <si>
    <t>23.1M</t>
  </si>
  <si>
    <t>22.9M</t>
  </si>
  <si>
    <t>92.6k</t>
  </si>
  <si>
    <t>98.6k</t>
  </si>
  <si>
    <t>119.9k</t>
  </si>
  <si>
    <t>122.8k</t>
  </si>
  <si>
    <t>135.2k</t>
  </si>
  <si>
    <t>148.5k</t>
  </si>
  <si>
    <t>101.1k</t>
  </si>
  <si>
    <t>26.5M</t>
  </si>
  <si>
    <t>24.9M</t>
  </si>
  <si>
    <t>22.7M</t>
  </si>
  <si>
    <t>20.6M</t>
  </si>
  <si>
    <t>23.6M</t>
  </si>
  <si>
    <t>20.2M</t>
  </si>
  <si>
    <t>Session Logical Reads (blocks)</t>
  </si>
  <si>
    <t>1.5M</t>
  </si>
  <si>
    <t>1.6M</t>
  </si>
  <si>
    <t>1.1M</t>
  </si>
  <si>
    <t>1.4M</t>
  </si>
  <si>
    <t>23.8M</t>
  </si>
  <si>
    <t>24.0M</t>
  </si>
  <si>
    <t>4.3G</t>
  </si>
  <si>
    <t>24.8M</t>
  </si>
  <si>
    <t>23.0M</t>
  </si>
  <si>
    <t>23.5M</t>
  </si>
  <si>
    <t>15.3M</t>
  </si>
  <si>
    <t>24.5M</t>
  </si>
  <si>
    <t>1.2M</t>
  </si>
  <si>
    <t>1.9M</t>
  </si>
  <si>
    <t>1.8M</t>
  </si>
  <si>
    <t>22.1M</t>
  </si>
  <si>
    <t>28.0M</t>
  </si>
  <si>
    <t>26.2M</t>
  </si>
  <si>
    <t>24.1M</t>
  </si>
  <si>
    <t>21.6M</t>
  </si>
  <si>
    <t>TOP SQL Analysis</t>
  </si>
  <si>
    <t>TOP SQL Ordered by Elapsed Time</t>
  </si>
  <si>
    <t>Elapsed Time - Elapsed Time ratio of corresponding SQL to entire SQL</t>
  </si>
  <si>
    <t>SQL ID</t>
  </si>
  <si>
    <t/>
  </si>
  <si>
    <t>Schema</t>
  </si>
  <si>
    <t>Program</t>
  </si>
  <si>
    <t>Module</t>
  </si>
  <si>
    <t>Elapsed Time (%)</t>
  </si>
  <si>
    <t>Elapsed Time (Sec)</t>
  </si>
  <si>
    <t>Executions</t>
  </si>
  <si>
    <t>Elapsed Time / exec (Sec)</t>
  </si>
  <si>
    <t>0tyw3tbahu38v</t>
  </si>
  <si>
    <t>PAYMENT</t>
  </si>
  <si>
    <t>JDBC Thin Client</t>
  </si>
  <si>
    <t>6yu0rb6um4wqm</t>
  </si>
  <si>
    <t>SYS</t>
  </si>
  <si>
    <t>rman@pgdb22.nicepay.local (TNS V1-V3)</t>
  </si>
  <si>
    <t>backup incr datafile</t>
  </si>
  <si>
    <t>g95dqmyfr9zy8</t>
  </si>
  <si>
    <t>mdata</t>
  </si>
  <si>
    <t>0ymdk2666u2yd</t>
  </si>
  <si>
    <t>batch-common</t>
  </si>
  <si>
    <t>f8p55m36dn5nz</t>
  </si>
  <si>
    <t>00sn79sf189ah</t>
  </si>
  <si>
    <t>PAYMENT2</t>
  </si>
  <si>
    <t>gyft0r7820rf4</t>
  </si>
  <si>
    <t>nms</t>
  </si>
  <si>
    <t>7sa6ymshc7mm0</t>
  </si>
  <si>
    <t>b4u0ntypd9x1d</t>
  </si>
  <si>
    <t>ims</t>
  </si>
  <si>
    <t>c14h2z2yk6kk5</t>
  </si>
  <si>
    <t>9zg9qd9bm4spu</t>
  </si>
  <si>
    <t>backup archivelog</t>
  </si>
  <si>
    <t>3fxqtf72u95p3</t>
  </si>
  <si>
    <t>d3pbkfkjumg2d</t>
  </si>
  <si>
    <t>5c0uw5s1ar19c</t>
  </si>
  <si>
    <t>bxfjsr766z2tt</t>
  </si>
  <si>
    <t>mms</t>
  </si>
  <si>
    <t>7u4yrng2sj1nr</t>
  </si>
  <si>
    <t>7apax20yzxujf</t>
  </si>
  <si>
    <t>S_TMS</t>
  </si>
  <si>
    <t>13jtqv5y97fnz</t>
  </si>
  <si>
    <t>oracle@pgdb22.nicepay.local (H007)</t>
  </si>
  <si>
    <t>oracle@pgdb22.nicepay.local (H006)</t>
  </si>
  <si>
    <t>3sjv5jv2gytq0</t>
  </si>
  <si>
    <t>drnpvfakzd07s</t>
  </si>
  <si>
    <t>a09j142jq35av</t>
  </si>
  <si>
    <t>nhome</t>
  </si>
  <si>
    <t>f9duxgunnrqrv</t>
  </si>
  <si>
    <t>cbvnx060kkw9f</t>
  </si>
  <si>
    <t>d135218dsfbyv</t>
  </si>
  <si>
    <t>b8ph91wrztym1</t>
  </si>
  <si>
    <t>03ghws18ap4xj</t>
  </si>
  <si>
    <t>SYSTEM</t>
  </si>
  <si>
    <t>oracle@pgdb22.nicepay.local (PPA7)</t>
  </si>
  <si>
    <t>DBMS_SCHEDULER</t>
  </si>
  <si>
    <t>8f94b0ckyrczj</t>
  </si>
  <si>
    <t>MAXGAUGE</t>
  </si>
  <si>
    <t>dq2gb62p8pghx</t>
  </si>
  <si>
    <t>TOP SQL Ordered by CPU Time</t>
  </si>
  <si>
    <t>CPU Time - CPU Time ratio of corresponding SQL to entire SQL</t>
  </si>
  <si>
    <t>CPU Time (%)</t>
  </si>
  <si>
    <t>CPU Time (Sec)</t>
  </si>
  <si>
    <t>CPU Time / exec (Sec)</t>
  </si>
  <si>
    <t>0pj6ypu5k708v</t>
  </si>
  <si>
    <t>cmw1kjht6kb2y</t>
  </si>
  <si>
    <t>3zvds1qpfvrn7</t>
  </si>
  <si>
    <t>d4zr8df6z0ww4</t>
  </si>
  <si>
    <t>oracle@pgdb22.nicepay.local (MZ00)</t>
  </si>
  <si>
    <t>grrdvmwuvx65f</t>
  </si>
  <si>
    <t>TOP SQL Ordered by Wait Time</t>
  </si>
  <si>
    <t>Wait Time - Wait Time ratio of corresponding SQL to entire SQL</t>
  </si>
  <si>
    <t>Wait Time (%)</t>
  </si>
  <si>
    <t>Wait Time (Sec)</t>
  </si>
  <si>
    <t>Wait Time / exec (Sec)</t>
  </si>
  <si>
    <t>oracle@pgdb22.nicepay.local (H008)</t>
  </si>
  <si>
    <t>oracle@pgdb22.nicepay.local (H002)</t>
  </si>
  <si>
    <t>oracle@pgdb22.nicepay.local (H004)</t>
  </si>
  <si>
    <t>cg32kvd5vnptt</t>
  </si>
  <si>
    <t>bur9z5r93859g</t>
  </si>
  <si>
    <t>oracle@pgdb22.nicepay.local (H005)</t>
  </si>
  <si>
    <t>7kr618dmqnh25</t>
  </si>
  <si>
    <t>d45muquvtxvwd</t>
  </si>
  <si>
    <t>oracle@pgdb22.nicepay.local (H000)</t>
  </si>
  <si>
    <t>3dm7nxhqjvc10</t>
  </si>
  <si>
    <t>7bn7673w6pnm1</t>
  </si>
  <si>
    <t>a8xst41fky8zh</t>
  </si>
  <si>
    <t>ady7vsmrfbpx7</t>
  </si>
  <si>
    <t>6tdxvkyuubkyy</t>
  </si>
  <si>
    <t>1ma8216df74fn</t>
  </si>
  <si>
    <t>OrangeMain.exe</t>
  </si>
  <si>
    <t>Orange for ORACLE DBA</t>
  </si>
  <si>
    <t>3cvkxfuhq9xkg</t>
  </si>
  <si>
    <t>71j7stn203tyz</t>
  </si>
  <si>
    <t>15a4p5u0t6uwv</t>
  </si>
  <si>
    <t>GoldenGate</t>
  </si>
  <si>
    <t>TOP SQL Ordered by Executions</t>
  </si>
  <si>
    <t>Executions - Executions ratio of corresponding SQL to entire SQL</t>
  </si>
  <si>
    <t>Executions (%)</t>
  </si>
  <si>
    <t>a1bkb7172rxdf</t>
  </si>
  <si>
    <t>ERADM</t>
  </si>
  <si>
    <t>replicat@pgdb22.nicepay.local (TNS V1-V3)</t>
  </si>
  <si>
    <t>OGG-OPEN_DATA_SOURCE</t>
  </si>
  <si>
    <t>30qshs48ng1v7</t>
  </si>
  <si>
    <t>56qcnr982ytbr</t>
  </si>
  <si>
    <t>az4rn0ym197xv</t>
  </si>
  <si>
    <t>b8hfvnf6y14d7</t>
  </si>
  <si>
    <t>cab04vsgfumwz</t>
  </si>
  <si>
    <t>24kuhk8ur4jhy</t>
  </si>
  <si>
    <t>3sn43z886njga</t>
  </si>
  <si>
    <t>aqw4bhj0m0k01</t>
  </si>
  <si>
    <t>9yz3x00rhj1uc</t>
  </si>
  <si>
    <t>0k8522rmdzg4k</t>
  </si>
  <si>
    <t>6hdz93f0qaqm1</t>
  </si>
  <si>
    <t>7a8q1paq0x3d6</t>
  </si>
  <si>
    <t>93r2j472hd2pa</t>
  </si>
  <si>
    <t>S_CHFLOW</t>
  </si>
  <si>
    <t>27yp9pf75vzdx</t>
  </si>
  <si>
    <t>7r9ravpff1zm8</t>
  </si>
  <si>
    <t>02wd4c7pkncp4</t>
  </si>
  <si>
    <t>gw6c6gc94210j</t>
  </si>
  <si>
    <t>TOP SQL Ordered by Logical Reads</t>
  </si>
  <si>
    <t>Logical Reads - Logical Reads ratio of corresponding SQL to entire SQL</t>
  </si>
  <si>
    <t>Logical Reads (%)</t>
  </si>
  <si>
    <t>Logical Reads (blocks)</t>
  </si>
  <si>
    <t>Logical Reads / exec (blocks)</t>
  </si>
  <si>
    <t>buvubm2fpy13g</t>
  </si>
  <si>
    <t>3mga9y998nv2k</t>
  </si>
  <si>
    <t>6ad4kqwtw7ryh</t>
  </si>
  <si>
    <t>310kyjankyxn2</t>
  </si>
  <si>
    <t>414w60x5bv5h9</t>
  </si>
  <si>
    <t>cd1t6fm1808s7</t>
  </si>
  <si>
    <t>cs4a54vkvmbk9</t>
  </si>
  <si>
    <t>c8zs7cf8j01ky</t>
  </si>
  <si>
    <t>bo-untact</t>
  </si>
  <si>
    <t>bdx57duv8gamu</t>
  </si>
  <si>
    <t>TOP SQL Ordered by Physical Reads</t>
  </si>
  <si>
    <t>Physical Reads - Physical Reads ratio of corresponding SQL to entire SQL</t>
  </si>
  <si>
    <t>Physical Reads (%)</t>
  </si>
  <si>
    <t>Physical Reads / exec (blocks)</t>
  </si>
  <si>
    <t>gmp6dcap374gy</t>
  </si>
  <si>
    <t>2wn7m5nq18w25</t>
  </si>
  <si>
    <t>8ta0k0qgf67nc</t>
  </si>
  <si>
    <t>6b1mqdcp47zkx</t>
  </si>
  <si>
    <t>7vp6u88utdyja</t>
  </si>
  <si>
    <t>bt7pcg6r01xwh</t>
  </si>
  <si>
    <t>bj7zr7ru2c0gd</t>
  </si>
  <si>
    <t>6k4f2y6pyd91f</t>
  </si>
  <si>
    <t>287cnpjgrarw6</t>
  </si>
  <si>
    <t>9s6pcf6gw0dr9</t>
  </si>
  <si>
    <t>5yvmjtv5sf9jj</t>
  </si>
  <si>
    <t>cay395nmga2kt</t>
  </si>
  <si>
    <t>c2ymdn45rm98j</t>
  </si>
  <si>
    <t>5m6jkb68kqmhy</t>
  </si>
  <si>
    <t>G_CP</t>
  </si>
  <si>
    <t>DataGrip</t>
  </si>
  <si>
    <t>caxuujsrxguxy</t>
  </si>
  <si>
    <t>8huhvuvr8kgc8</t>
  </si>
  <si>
    <t>2hdpqh2arbn95</t>
  </si>
  <si>
    <t>TOP List</t>
  </si>
  <si>
    <t>SQL Text</t>
  </si>
  <si>
    <t>select
            payment_type,
            payment_method_type,
            count(1) as failedCount
        from (
                 SELECT
                     'failed' AS status,</t>
  </si>
  <si>
    <t>SELECT TO_CHAR(SYSDATE  , 'YYYY' , 'NLS_CALENDAR=Gregorian' )  , TO_CHAR(SYSDATE  , 'MM' , 'NLS_CALENDAR=Gregorian' )  , TO_CHAR(SYSDATE  , 'DD' , 'NLS_CALENDAR=Gregorian' )  FROM X$DUAL</t>
  </si>
  <si>
    <t>/* MerchantMapper.selectEvaResultListByMid */
        select 
            fn_cd as "fn_cd", payment.fn_nm_code1('card_cd', fn_cd) as "fn_nm",
            status as "status", payment.fn_nm_code1('cards</t>
  </si>
  <si>
    <t>SELECT STEP_EXECUTION_ID, STEP_NAME, START_TIME, END_TIME, STATUS, COMMIT_COUNT, READ_COUNT, FILTER_COUNT, WRITE_COUNT, EXIT_CODE, EXIT_MESSAGE, READ_SKIP_COUNT, WRITE_SKIP_COUNT, PROCESS_SKIP_COUNT,</t>
  </si>
  <si>
    <t>select CODE_ID||'['||TO_CHAR(sysdate - LIMIT_INTERVAL/60/24, 'HH24:MI:SS')||'-'||TO_CHAR(sysdate, 'HH24:MI:SS')||']' as LIMIT_MDC,
			       CODE_ID,
		           SUB_CODE_ID,
		           PERIOD,</t>
  </si>
  <si>
    <t>SELECT   /*+FIRST_ROWS */ 
                       	  AA.TID			AS TID
						, AA.SVC_CD			AS SVC_CD	
						, '01' 				AS SVC_PRDT_CD
						, ORG_TID 		 	AS ORG_TID
						, '03'  			AS ORG_SVC_CD</t>
  </si>
  <si>
    <t>select /* account.getLastLoginInfo */
            a.id as id, 
            a.id_cl as id_cl, 
            a.usrid as usrid,
            nvl(a.acc_dt,' ') as acc_dt, 
            nvl(a.acc_tm, ' ') as</t>
  </si>
  <si>
    <t>select /* OmApiMapper.selectTbOmSettlmntInfo */
               :1  as "mid",
               a.tot_cnt as "totCnt",
               a.succ_cnt as "succCnt",
               a.fail_cnt as "failCnt",</t>
  </si>
  <si>
    <t>select              /* IMS.service.SettlmntCafe24ReadMap.getSettlmntFeeInspectLstCafe24 */             a.mid "mid",             max(case when a.svc_cd in ('01') then '확인요망' else '' end) "card",</t>
  </si>
  <si>
    <t>select /* account.getCellPhoneResultCnt */
            count(cp_auth_cl)
        from tb_merchant
        where 1=1
        and (aid = :1  or gid = :2  or mid = :3 )
        and cp_auth_cl = '1'</t>
  </si>
  <si>
    <t>update user$ set spare6=DECODE(to_char(:2, 'YYYY-MM-DD'), '0000-00-00', to_date(NULL), :2) where user#=:1</t>
  </si>
  <si>
    <t>select     count(1) cnt    from     payment.tb_bo_file_history   where     1=1    and server_cd = :1     and auth_id = :2     and recv_file_path= :3     and file_nm = :4</t>
  </si>
  <si>
    <t>select /* account.getTicketAppResultCnt */
            count(status)
        from tb_settlmnt_service
        where 1=1
        and id in
        (
	        select
	            mid
            from tb</t>
  </si>
  <si>
    <t>select /* nbo.batch.deamon.desa.selMerDesaFileInfo */
               :1  as "bo_cl",
               a.id as "id",
               a.id as "usrid",
               a.id as "mid",
               a.id_cl a</t>
  </si>
  <si>
    <t>select             a.mid as "mid",             nvl(a.desa_proc_type,'T') as "desa_proc_type"         from              tb_id_user a, tb_merchant b         where              a.mid = b.mid</t>
  </si>
  <si>
    <t>SELECT JOB_EXECUTION_ID, START_TIME, END_TIME, STATUS, EXIT_CODE, EXIT_MESSAGE, CREATE_TIME, LAST_UPDATED, VERSION from BATCH_JOB_EXECUTION where JOB_INSTANCE_ID = :1  order by JOB_EXECUTION_ID desc</t>
  </si>
  <si>
    <t>insert into system.logmnr_log$ (session#, thread#, sequence#, first_change#, next_change#, first_time, next_time, file_name, status, info, timestamp, dict_begin, dict_end, status_info, blocks, block_s</t>
  </si>
  <si>
    <t>select /* marginSettle.DepositReportMarginDetailSearchCnt */
            count(1) as "tot_cnt",
            nvl(sum(a.tr_amt), 0) as "tr_amt",
            nvl(sum(a.fee), 0) as "fee", 
            nvl</t>
  </si>
  <si>
    <t>SELECT JOB_EXECUTION_ID, START_TIME, END_TIME, STATUS, EXIT_CODE, EXIT_MESSAGE, CREATE_TIME, LAST_UPDATED, VERSION, JOB_CONFIGURATION_LOCATION from TMS_BAT_JOB_EXECUTION where JOB_INSTANCE_ID = :1  or</t>
  </si>
  <si>
    <t>SELECT /* Nhome.CommonMapper.selectCardTransList */
              A.TID
            , A.MID
            , A.APP_DT
            , A.APP_TM
            , A.APP_CO
            , A.APP_NO
            , FN</t>
  </si>
  <si>
    <t>select /* IMS.batch.Monitoring.getSettlmntFeeOfSeries */             '(tb_settlmnt_fee)' as "tb_nm",             decode(id_cl, '0', 'CO_NO', '1', 'MID', '2', 'GID', '3', 'AID', '') ||'('||a.id||')' as</t>
  </si>
  <si>
    <t>select /* ReconApiMapper.getDesaVacctLstCnt */
	           count(*) cnt
	        from
	            (
	            select
	                  /*+ index(a idx_vacct_trans_02) */</t>
  </si>
  <si>
    <t>SELECT
    	    		'MASS' AS SEND_TYPE,
    	    		SCHD.POST_ID AS POST_ID,
    	    		SCHD.SERVER_ID AS SERVER_ID,
    	    		MSG.SITE_ID AS SITE_ID,
    	    		TO_CHAR(SYSDATE,'YYYYMMDD') AS WORKDAY,</t>
  </si>
  <si>
    <t>SELECT LPAD (INST_ID, 7, ' ') INST_ID , LPAD (LOCK_SID, 8, ' ') LOCK_SID , LPAD (SID, 8, ' ') SID , LPAD (SERIAL#, 6, ' ') SERIAL , LPAD (LOCKED_OBJECT, 30, ' ') LOCKED_OBJECT , LPAD (TYPE, 10, ' ') T</t>
  </si>
  <si>
    <t>SELECT SYSDATE ,
       tablespace_name ,
       SUM( total_space ) total_space ,
       SUM( total_space ) - SUM( used_space ) tbs_free_space ,
       SUM( used_space ) * 100 /sum( total_space ) usag</t>
  </si>
  <si>
    <t>select /* merchantInfo.getMIDList2 */
		  mid as "mid",
		  gid as "gid", 
		  co_nm as "co_nm", 
		  allthe_service_id as "allthe_service_id", 
		  vat_req_cl as "vat_req_cl",
		  term_no as "term_no</t>
  </si>
  <si>
    <t>select /* MMS.service.DepositReportReadMap.DepositReportDetailSearchCnt2.all */
                            sum(a.cnt)                   as "tot_cnt", 
                            sum(a.goods_amt)</t>
  </si>
  <si>
    <t>select /* IMS.batch.CreatePayProDesa.getPayProDesaNiceData */                            decode(a.state_cd, '0', decode(nvl(b.cc_cd,'00'), '03', '61', '60'), decode(nvl(b.cc_cd, '00'), '03', '68', '67</t>
  </si>
  <si>
    <t>select /* marginSettle.AcquRsltMarginSearch */
            nvl(sum(case when a.acqu_rslt = '2' and a.acqu_type in ('00','01') then 1 else 0 end), 0) as "acqu_cnt",
            nvl(sum(case when a.acqu</t>
  </si>
  <si>
    <t>insert /* IMS.batch.CreateSettlmnt.insertAIDSettmntRow_v1_cafe24Payments */             into tb_aid_settlmnt_tid             (                 tid, settlmnt_dt, state_cd, svc_cd, part_svc_cd, main_aid</t>
  </si>
  <si>
    <t>select s, c from   (select /*+ index(java$mc$ java$mc$objn_idx) +*/      sum(length) s, count(piece) c from java$mc$    where obj#=:1 and method#=:2) where c &lt;&gt; 0</t>
  </si>
  <si>
    <t>insert /* IMS.batch.CreateStatistics.createSalesStatistics */         into tb_sales_statistics             (             mid, tr_dt, svc_cd, svc_prdt_cd, fn_cd,             fn_no, gid, aid, co_no, co_</t>
  </si>
  <si>
    <t>UPDATE PAYMENT3.TB_BO_TRANS_HISTORY SET STATE_CD = DECODE(STATE_CD, '3', :NEW_STATE_CD1, '8', :NEW_STATE_CD2, '9', :NEW_STATE_CD3, STATE_CD), TR_DT = DECODE(STATE_CD, '0', :NEW_APP_DT1, '3', :NEW_APP_</t>
  </si>
  <si>
    <t>UPDATE /*+  RESTRICT_ALL_REF_CONS  */ "PAYMENT3"."TB_BO_CARD_TRANS" x SET x."APP_ACQU_DT" = :a18,x."CC_ACQU_DT" = :a19,x."APP_SETTLMNT_DT" = :a20,x."CC_SETTLMNT_DT" = :a21,x."APP_DEPOSIT_AMT" = :a22,x</t>
  </si>
  <si>
    <t>select /* MMS.service.DesaReadMapHandler.getDesaRcptLst */            a.reg_dt as "reg_dt", a.reg_tm as "reg_tm", a.cc_dt as "cc_dt", a.state_cd as "state_cd", a.mid as "mid"          ,a.tid as "tid",</t>
  </si>
  <si>
    <t>SELECT  
						 M.MID || '0101'  || SUBSTRB(A.SEND_DT,3,6)  || A.SEND_NO || A.RECV_CD	AS  TID
						,ARS.MID || '0101'  || SUBSTRB(A.SEND_DT,3,6)  || A.SEND_NO || A.RECV_CD	AS  ARS_TID
					    ,'01'</t>
  </si>
  <si>
    <t>select A.TMS_M_ID,
       A.MID,
       A.CO_NM,
       A.TEL_NO,
       A.RECV_NM,
       A.BODY_OPTION,
       A.GOODS_NM,
       A.GOODS_AMT,
       A.TMS_M_EMAIL,
       A.TMS_M_NAME,</t>
  </si>
  <si>
    <t>UPDATE /*+  RESTRICT_ALL_REF_CONS  */ "PAYMENT3"."TB_BO_TRANS_HISTORY" x SET x."MID" = :a78,x."GID" = :a79,x."AID" = :a80,x."SVC_CD" = :a81,x."SVC_PRDT_CD" = :a82,x."TRANS_TYPE" = :a83,x."STATUS" = :a</t>
  </si>
  <si>
    <t>SELECT A.DAY FROM ( SELECT A.DAY, ROWNUM NUM FROM ( SELECT DAY FROM ( SELECT DAY FROM TB_DAY WHERE DAY &lt; :B1 AND OFF_CL = '1' ORDER BY DAY DESC ) ) A ) A WHERE A.NUM = ABS(:B2 )</t>
  </si>
  <si>
    <t>select /* settle.getVatRefDataStat2 */ 
		    nvl(SUM(CASE WHEN a.tr_dt &gt;= '20250101' and a.svc_cd = 'CP' THEN a.app_amt - a.cc_amt END), 0) as "tot_amt_cc",
            nvl(SUM(CASE WHEN a.tr_dt &gt;= '</t>
  </si>
  <si>
    <t>update PAYMENT.TB_REQ_TRANS_MARGIN
set CAFE24_YN = 'N'
where CAFE24_YN = '1'
and reg_dt between '20250601' and '20250631'
and rownum &lt; 100001</t>
  </si>
  <si>
    <t>select /* IMS.service.TaxReadMap.getTaxConfirm*/             a.id as "id",             a.id_cl as "id_cl",             a.recpt_cl as "recpt_cl",             a.co_no as "co_no",             a.co_nm as</t>
  </si>
  <si>
    <t>select
            count(1)
        from (
                 select
                     A.GID
                      , NVL(B.REQ_DT, A.REQ_DT) AS REQ_DT
                      , NVL(B.REQ_TM, A.REQ_TM)</t>
  </si>
  <si>
    <t>update  /* IMS.batch.CreateSettlmnt.updateSettlmntAppRow */             tb_trans_history a         set            a.app_settlmnt_dt = :1 ,            a.deposit_amt = :2 ,            a.fee = :3 ,</t>
  </si>
  <si>
    <t>SELECT  /*+first_rows leading(a) index(a IDX_ESCROW_DATA_01) */
						  T.TID 									AS TID
						, SUBSTR(A.MEMBER_NO, 5, 14)  				AS ORD_SOC_NO
						, A.SEND_DT									AS SEND_DT</t>
  </si>
  <si>
    <t>SELECT CASE WHEN A.DEPOSIT_CYCLE = 'M3' THEN CASE WHEN TRUNC((SUBSTR(:B1 ,7,2)-1)/10) = '0' THEN PAYMENT.FN_BIZDAY(SUBSTR(:B1 ,0,6)||'19','0') WHEN TRUNC((SUBSTR(:B1 ,7,2)-1)/10) = '1' THEN PAYMENT.FN</t>
  </si>
  <si>
    <t>SELECT SYSTIMESTAMP  FROM SYS.DUAL</t>
  </si>
  <si>
    <t>SELECT /* IMS.service.getAcquSalesDeptCd.v */       b.expt_value expt_value       ,fn_nm_code1('part', b.expt_value) expt_desc   FROM          tb_bo_code_expt a, tb_bo_code_expt_detail b       , (sele</t>
  </si>
  <si>
    <t>select /* SettleMarginPG.getSettlmntTIDMargin */             a.mid as "mid",              a.settlmnt_exp_dt as "settlmnt_exp_dt"         from              tb_settlmnt_tid_margin a         where</t>
  </si>
  <si>
    <t>INSERT /*+ RESTRICT_ALL_REF_CONS */ INTO "PAYMENT"."TB_CARD_TRANS" ("TID","MOID","APP_REQ_DT","APP_REQ_TM","APP_DT","APP_TM","MID","SVC_CD","SVC_PRDT_CD","GID","AID","SETTLMNT_CYCLE","STATE_CD","TRANS</t>
  </si>
  <si>
    <t>SELECT DISTINCT DESC1 FROM TB_CODE WHERE COL_NM = :B2 AND CODE1 = :B1</t>
  </si>
  <si>
    <t>select       '10' as "type",        a.app_dt as "app_dt",        a.cc_dt as "cc_dt",        a.tid as "tid",        a.otid as "otid",        a.goods_nm as "goods_nm",        a.goods_amt as "goods_amt",</t>
  </si>
  <si>
    <t>INSERT /*+ RESTRICT_ALL_REF_CONS */ INTO "PAYMENT"."TB_TRANS" ("TID","MOID","APP_DT","APP_TM","SVC_CD","SVC_PRDT_CD","MID","GID","AID","STATE_CD","TRANS_TYPE","FN_CD","ORD_CP","SALES_CP","GOODS_NM","G</t>
  </si>
  <si>
    <t>insert /* IMS.batch.CreateSettlmnt.CreateSettlmntCcRowCmsbank */         into tb_settlmnt_tid             (             tid, settlmnt_dt, state_cd, trans_type, tr_dt, svc_cd, svc_prdt_cd,</t>
  </si>
  <si>
    <t>select             count(1)         from (             select                 reg_dt, margin_tid             from                 tb_req_trans_margin x, tb_card_trans y             where</t>
  </si>
  <si>
    <t>select /* trans.cancelRequestSearchPageCnt */
            sum(rowCnt) as "totPageCnt",
            sum(a.app_cnt) as "appCnt",
            sum(a.app_amt) as "appAmt",
            sum(a.cc_cnt) as "ccC</t>
  </si>
  <si>
    <t>select privilege# from sysauth$ where (grantee#=:1 or grantee#=1) and privilege#&gt;0</t>
  </si>
  <si>
    <t>INSERT INTO tb_mail_daily_log ( seq, mid, co_no, co_nm, co_url, co_tel, tid, app_dt, app_tm, cc_dt, cc_tm, state_cd, status, svc_cd, svc_prdt_cd, amt, goods_nm, ord_nm, ord_tel, ord_email, app_no, ins</t>
  </si>
  <si>
    <t>select /* DesaMapper.selectTaxDataList */
			   t.mid as "mid",
		       t.svc_cd as "svcCd",
		       t.svc_cd_nm as "svcCdNm",
		       t.fn_cd as "fnCd",
		       t.fn_cd_nm as "fnCdNm",
		       t</t>
  </si>
  <si>
    <t>UPDATE ERADM.CHK19C SET last_update_ts = sysdate, seqno = :seqno, rba = :rba, audit_ts = :audit_ts, log_bsn = :log_bsn, log_csn = :log_csn, log_xid = :log_xid, log_cmplt_csn = :log_cmplt_csn, log_cmpl</t>
  </si>
  <si>
    <t>insert /* IMS.batch.CreateDeposit.CreateAcquSettlmntID */             into tb_acqu_settlmnt_id              (mid, gid, aid, fn_cd, fn_no, svc_prdt_cd, over_flg, join_type, currency_cl, acqu_dt, deposi</t>
  </si>
  <si>
    <t>SELECT A.DAY FROM ( SELECT A.DAY, ROWNUM NUM FROM ( SELECT DAY FROM TB_DAY WHERE DAY &gt; :B1 AND OFF_CL = '1' ORDER BY DAY ASC ) A ) A WHERE A.NUM = :B2</t>
  </si>
  <si>
    <t>select /* nicepay.merchant.dashboard.mapper.DashboardMapper.selectDailyStatisticsChartTime */ 
		tr_tm as "tr_tm"
		, round(((max(B.app_cnt))/nullif(sum(max(B.app_cnt)) over(),0))*100,0)||'%'  as "cnt</t>
  </si>
  <si>
    <t>INSERT /*+ RESTRICT_ALL_REF_CONS */ INTO "PAYMENT"."TB_TRANS_HISTORY" ("TID","MID","GID","AID","SVC_CD","SVC_PRDT_CD","STATE_CD","TRANS_TYPE","STATUS","CC_STATUS","APP_DT","CC_DT","ACQU_REQ_DT","APP_A</t>
  </si>
  <si>
    <t>select /*  settle.getVatRefDataSearchTaxFree  */  
             nvl(sum(case when a.svc_cd = '01' and a.fn_cd = '01' then (a.app_amt - a.cc_amt) end), 0)                         as "tot_amt_0101",</t>
  </si>
  <si>
    <t>select /* settle.getVatRefDataStat */
		    nvl(sum(case when a.svc_cd = '01' and a.fn_cd = '01' then (a.app_amt - a.cc_amt) end), 0) as "tot_amt_0101",
		    nvl(sum(case when a.svc_cd = '01' and a.f</t>
  </si>
  <si>
    <t>INSERT /*+ RESTRICT_ALL_REF_CONS */ INTO "PAYMENT"."TB_TRANS_REQ" ("TID","MOID","REQ_DT","REQ_TM","SVC_CD","SVC_PRDT_CD","MID","GID","AID","GOODS_NM","GOODS_AMT","ORD_NM","ORD_TEL","ORD_CP","ORD_EMAIL</t>
  </si>
  <si>
    <t>select  /* batch.margin.AcquMarginMapper.getEDIDataAcquAddImsi */             a.reg_dt as "reg_dt",              a.tr_dt as "tr_dt",             count(1) "acqu_expt_cnt"    from        tb_req_trans_ma</t>
  </si>
  <si>
    <t>INSERT /*+ RESTRICT_ALL_REF_CONS */ INTO "PAYMENT3"."TB_BO_CARD_TRANS" ("TID","TR_DT","TR_TM","GUBUN_FLAG","MOID","APP_REQ_DT","APP_REQ_TM","APP_DT","APP_TM","MID","SVC_CD","SVC_PRDT_CD","GID","AID","</t>
  </si>
  <si>
    <t>UPDATE /*+  RESTRICT_ALL_REF_CONS  */ "PAYMENT"."TB_TRANS_REQ" x SET x."RESULT_CD" = :a6,x."RESULT_MSG" = :a7 WHERE x."TID" = :b0 AND x."REQ_DT" = :b1</t>
  </si>
  <si>
    <t>select /* kr.co.nicepay.dao.mapper.MerchantMapper.getNinstEvent */
                a.mid as "mid",
                a.fn_cd as "fnCd",
                payment.fn_nm_code1('card_cd' ,a.fn_cd) as "fnNm",</t>
  </si>
  <si>
    <t>select
   '0' result,
   count(1) proc_cnt, 
   max(msg) as msg
from (
	select
	   batch_cd||'/'||decode(status,'COMPLETED', '완료','진행')||'시간['||end_time||'][REQ/ACQU'||b.req_cnt||'/'||c.acqu_cnt</t>
  </si>
  <si>
    <t>select /*  settle.getOMPayList  */ 
            a.seq as "seq", 
            a.id as "user_id", 
            a.settlmnt_dt as "settlmnt_dt", 
            nvl(a.reg_dt, '-') as "reg_dt",
            a.</t>
  </si>
  <si>
    <t>INSERT /*+ RESTRICT_ALL_REF_CONS */ INTO "PAYMENT3"."TB_TRANS" ("TID","MOID","APP_DT","APP_TM","SVC_CD","SVC_PRDT_CD","MID","GID","AID","STATE_CD","TRANS_TYPE","FN_CD","ORD_CP","SALES_CP","GOODS_NM","</t>
  </si>
  <si>
    <t>insert into tb_deposit_sub_settlmnt /* IMS.batch.CreateDeposit.CreateDepositSubSettlmnt */                                        (target_dt, mid, trans_type, co_no, amt, input_amt,</t>
  </si>
  <si>
    <t>insert /* IMS.batch.CreateStatistics.createPartSalesStatistics */          into tb_part_sales_statistics              (              mid, tr_dt, svc_cd, svc_prdt_cd, fn_cd,              fn_no, gid, ai</t>
  </si>
  <si>
    <t>insert /* IMS.batch.CreateStatistics.createNtsStatistics */          into tb_nts_statistics              (                  mid, tr_dt, svc_cd, svc_prdt_cd,                   fn_cd, fn_no, gid, aid,</t>
  </si>
  <si>
    <t>/* nicepay.homepage.customer.mapper.CustomerMapper.selectTransHistoryCell */
			SELECT X.SVC_CD,
		           X.STATE_CD,
		           FN_NM_CODE3('svc_state_cd', DECODE(X.SVC_CD ,'03', '03' ,'00'</t>
  </si>
  <si>
    <t>select /*  settle.getTaxAccountSearchDetailMid  */  
            mid as "mid",
            tr_dt as "tr_dt",
            sum(cnt) as "cnt",
            sum(tr_amt) as "amt",
            sum(fee) as "f</t>
  </si>
  <si>
    <t>select /* IMS.service.SettlmntReadMap.getVacctSettlmntLst */          /*+ use_hash(b) */             fn_nm_code1('svc_cd', a.svc_cd) as "svc_nm",             fn_nm_code1('bank_cd', a.bank_cd) as "bank</t>
  </si>
  <si>
    <t>select /* IMS.service.StatisticReadMap.getBillKeyLst */             a.reg_dt as "reg_dt",             a.target_id as "target_id",             a.bid as "bid",             a.mandate_id as "mandate_id",</t>
  </si>
  <si>
    <t>select * from payment.TB_CARD_TRANS
    where var_value1 = 'NACAUT0024609m2606150944599659'</t>
  </si>
  <si>
    <t>select /* IMS.service.SettlmntReadMap.getSettlmntRefundList */             a.refund_report_dt as "cc_dt",             a.cc_dt as "refund_dt",             decode(a.svc_cd, '1', '기타환불(수기)', '2', '기타환불(재</t>
  </si>
  <si>
    <t>select /* nbo.batch.deamon.desa.selPostTransHeadData */
			'00' as "recordFlg",
			'TRAN' as "workCd",
			(nvl(sum(v.authcnt),0)+nvl(sum(v.canccnt),0)+nvl(sum(v.acqu_canccnt),0)+nvl(sum(v.failcnt),0))</t>
  </si>
  <si>
    <t>select                                                                        
		'10'			recordFlg,                                                
		a.mid			mid,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</si>
</sst>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&quot;%&quot;"/>
  </numFmts>
  <fonts count="10" x14ac:knownFonts="1">
    <font>
      <sz val="11"/>
      <name val="맑은 고딕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26"/>
      <name val="맑은 고딕"/>
      <family val="3"/>
      <charset val="129"/>
    </font>
    <font>
      <sz val="16"/>
      <color rgb="FF0070C0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 style="thin">
        <color rgb="FF474A53"/>
      </left>
      <right style="thin">
        <color rgb="FF474A53"/>
      </right>
      <top style="thin">
        <color rgb="FF474A53"/>
      </top>
      <bottom style="thin">
        <color rgb="FF474A5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'27cpu'!$B$1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'27cpu'!$A$2:$A$20</c:f>
              <c:strCache>
                <c:ptCount val="19"/>
                <c:pt idx="0">
                  <c:v>06/01</c:v>
                </c:pt>
                <c:pt idx="1">
                  <c:v>06/02</c:v>
                </c:pt>
                <c:pt idx="2">
                  <c:v>06/03</c:v>
                </c:pt>
                <c:pt idx="3">
                  <c:v>06/04</c:v>
                </c:pt>
                <c:pt idx="4">
                  <c:v>06/05</c:v>
                </c:pt>
                <c:pt idx="5">
                  <c:v>06/06</c:v>
                </c:pt>
                <c:pt idx="6">
                  <c:v>06/07</c:v>
                </c:pt>
                <c:pt idx="7">
                  <c:v>06/08</c:v>
                </c:pt>
                <c:pt idx="8">
                  <c:v>06/09</c:v>
                </c:pt>
                <c:pt idx="9">
                  <c:v>06/10</c:v>
                </c:pt>
                <c:pt idx="10">
                  <c:v>06/11</c:v>
                </c:pt>
                <c:pt idx="11">
                  <c:v>06/12</c:v>
                </c:pt>
                <c:pt idx="12">
                  <c:v>06/13</c:v>
                </c:pt>
                <c:pt idx="13">
                  <c:v>06/14</c:v>
                </c:pt>
                <c:pt idx="14">
                  <c:v>06/15</c:v>
                </c:pt>
                <c:pt idx="15">
                  <c:v>06/16</c:v>
                </c:pt>
                <c:pt idx="16">
                  <c:v>06/17</c:v>
                </c:pt>
                <c:pt idx="17">
                  <c:v>06/18</c:v>
                </c:pt>
                <c:pt idx="18">
                  <c:v>06/19</c:v>
                </c:pt>
              </c:strCache>
            </c:strRef>
          </c:cat>
          <c:val>
            <c:numRef>
              <c:f>'27cpu'!$B$2:$B$20</c:f>
              <c:numCache>
                <c:formatCode>General</c:formatCode>
                <c:ptCount val="19"/>
                <c:pt idx="0">
                  <c:v>30.6</c:v>
                </c:pt>
                <c:pt idx="1">
                  <c:v>25.7</c:v>
                </c:pt>
                <c:pt idx="2">
                  <c:v>21.7</c:v>
                </c:pt>
                <c:pt idx="3">
                  <c:v>25.6</c:v>
                </c:pt>
                <c:pt idx="4">
                  <c:v>24.5</c:v>
                </c:pt>
                <c:pt idx="5">
                  <c:v>18.5</c:v>
                </c:pt>
                <c:pt idx="6">
                  <c:v>18.2</c:v>
                </c:pt>
                <c:pt idx="7">
                  <c:v>26</c:v>
                </c:pt>
                <c:pt idx="8">
                  <c:v>24.1</c:v>
                </c:pt>
                <c:pt idx="9">
                  <c:v>29.1</c:v>
                </c:pt>
                <c:pt idx="10">
                  <c:v>22.1</c:v>
                </c:pt>
                <c:pt idx="11">
                  <c:v>20.5</c:v>
                </c:pt>
                <c:pt idx="12">
                  <c:v>16.899999999999999</c:v>
                </c:pt>
                <c:pt idx="13">
                  <c:v>16.899999999999999</c:v>
                </c:pt>
                <c:pt idx="14">
                  <c:v>24.2</c:v>
                </c:pt>
                <c:pt idx="15">
                  <c:v>22.9</c:v>
                </c:pt>
                <c:pt idx="16">
                  <c:v>30.7</c:v>
                </c:pt>
                <c:pt idx="17">
                  <c:v>24.4</c:v>
                </c:pt>
                <c:pt idx="18">
                  <c:v>22.3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'27cpu'!$C$1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'27cpu'!$A$2:$A$20</c:f>
              <c:strCache>
                <c:ptCount val="19"/>
                <c:pt idx="0">
                  <c:v>06/01</c:v>
                </c:pt>
                <c:pt idx="1">
                  <c:v>06/02</c:v>
                </c:pt>
                <c:pt idx="2">
                  <c:v>06/03</c:v>
                </c:pt>
                <c:pt idx="3">
                  <c:v>06/04</c:v>
                </c:pt>
                <c:pt idx="4">
                  <c:v>06/05</c:v>
                </c:pt>
                <c:pt idx="5">
                  <c:v>06/06</c:v>
                </c:pt>
                <c:pt idx="6">
                  <c:v>06/07</c:v>
                </c:pt>
                <c:pt idx="7">
                  <c:v>06/08</c:v>
                </c:pt>
                <c:pt idx="8">
                  <c:v>06/09</c:v>
                </c:pt>
                <c:pt idx="9">
                  <c:v>06/10</c:v>
                </c:pt>
                <c:pt idx="10">
                  <c:v>06/11</c:v>
                </c:pt>
                <c:pt idx="11">
                  <c:v>06/12</c:v>
                </c:pt>
                <c:pt idx="12">
                  <c:v>06/13</c:v>
                </c:pt>
                <c:pt idx="13">
                  <c:v>06/14</c:v>
                </c:pt>
                <c:pt idx="14">
                  <c:v>06/15</c:v>
                </c:pt>
                <c:pt idx="15">
                  <c:v>06/16</c:v>
                </c:pt>
                <c:pt idx="16">
                  <c:v>06/17</c:v>
                </c:pt>
                <c:pt idx="17">
                  <c:v>06/18</c:v>
                </c:pt>
                <c:pt idx="18">
                  <c:v>06/19</c:v>
                </c:pt>
              </c:strCache>
            </c:strRef>
          </c:cat>
          <c:val>
            <c:numRef>
              <c:f>'27cpu'!$C$2:$C$20</c:f>
              <c:numCache>
                <c:formatCode>General</c:formatCode>
                <c:ptCount val="19"/>
                <c:pt idx="0">
                  <c:v>90.2</c:v>
                </c:pt>
                <c:pt idx="1">
                  <c:v>81.7</c:v>
                </c:pt>
                <c:pt idx="2">
                  <c:v>55.2</c:v>
                </c:pt>
                <c:pt idx="3">
                  <c:v>65.2</c:v>
                </c:pt>
                <c:pt idx="4">
                  <c:v>60.3</c:v>
                </c:pt>
                <c:pt idx="5">
                  <c:v>50.2</c:v>
                </c:pt>
                <c:pt idx="6">
                  <c:v>46.4</c:v>
                </c:pt>
                <c:pt idx="7">
                  <c:v>74.7</c:v>
                </c:pt>
                <c:pt idx="8">
                  <c:v>61.6</c:v>
                </c:pt>
                <c:pt idx="9">
                  <c:v>73.400000000000006</c:v>
                </c:pt>
                <c:pt idx="10">
                  <c:v>62.7</c:v>
                </c:pt>
                <c:pt idx="11">
                  <c:v>53.7</c:v>
                </c:pt>
                <c:pt idx="12">
                  <c:v>48.2</c:v>
                </c:pt>
                <c:pt idx="13">
                  <c:v>48.4</c:v>
                </c:pt>
                <c:pt idx="14">
                  <c:v>60.2</c:v>
                </c:pt>
                <c:pt idx="15">
                  <c:v>57.6</c:v>
                </c:pt>
                <c:pt idx="16">
                  <c:v>81.2</c:v>
                </c:pt>
                <c:pt idx="17">
                  <c:v>68.3</c:v>
                </c:pt>
                <c:pt idx="18">
                  <c:v>59.9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667520"/>
        <c:axId val="512675680"/>
      </c:lineChart>
      <c:catAx>
        <c:axId val="5126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675680"/>
        <c:crosses val="autoZero"/>
        <c:auto val="1"/>
        <c:lblAlgn val="ctr"/>
        <c:lblOffset val="100"/>
        <c:tickLblSkip val="2"/>
        <c:noMultiLvlLbl val="0"/>
      </c:catAx>
      <c:valAx>
        <c:axId val="512675680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[&gt;=1000000]#0.0,,&quot;M&quot;;[&gt;=1000]#0.0,&quot;k&quot;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667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'27totalmemsize'!$B$1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'27totalmemsize'!$A$2:$A$20</c:f>
              <c:strCache>
                <c:ptCount val="19"/>
                <c:pt idx="0">
                  <c:v>06/01</c:v>
                </c:pt>
                <c:pt idx="1">
                  <c:v>06/02</c:v>
                </c:pt>
                <c:pt idx="2">
                  <c:v>06/03</c:v>
                </c:pt>
                <c:pt idx="3">
                  <c:v>06/04</c:v>
                </c:pt>
                <c:pt idx="4">
                  <c:v>06/05</c:v>
                </c:pt>
                <c:pt idx="5">
                  <c:v>06/06</c:v>
                </c:pt>
                <c:pt idx="6">
                  <c:v>06/07</c:v>
                </c:pt>
                <c:pt idx="7">
                  <c:v>06/08</c:v>
                </c:pt>
                <c:pt idx="8">
                  <c:v>06/09</c:v>
                </c:pt>
                <c:pt idx="9">
                  <c:v>06/10</c:v>
                </c:pt>
                <c:pt idx="10">
                  <c:v>06/11</c:v>
                </c:pt>
                <c:pt idx="11">
                  <c:v>06/12</c:v>
                </c:pt>
                <c:pt idx="12">
                  <c:v>06/13</c:v>
                </c:pt>
                <c:pt idx="13">
                  <c:v>06/14</c:v>
                </c:pt>
                <c:pt idx="14">
                  <c:v>06/15</c:v>
                </c:pt>
                <c:pt idx="15">
                  <c:v>06/16</c:v>
                </c:pt>
                <c:pt idx="16">
                  <c:v>06/17</c:v>
                </c:pt>
                <c:pt idx="17">
                  <c:v>06/18</c:v>
                </c:pt>
                <c:pt idx="18">
                  <c:v>06/19</c:v>
                </c:pt>
              </c:strCache>
            </c:strRef>
          </c:cat>
          <c:val>
            <c:numRef>
              <c:f>'27totalmemsize'!$B$2:$B$20</c:f>
              <c:numCache>
                <c:formatCode>General</c:formatCode>
                <c:ptCount val="19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'27totalmemsize'!$C$1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'27totalmemsize'!$A$2:$A$20</c:f>
              <c:strCache>
                <c:ptCount val="19"/>
                <c:pt idx="0">
                  <c:v>06/01</c:v>
                </c:pt>
                <c:pt idx="1">
                  <c:v>06/02</c:v>
                </c:pt>
                <c:pt idx="2">
                  <c:v>06/03</c:v>
                </c:pt>
                <c:pt idx="3">
                  <c:v>06/04</c:v>
                </c:pt>
                <c:pt idx="4">
                  <c:v>06/05</c:v>
                </c:pt>
                <c:pt idx="5">
                  <c:v>06/06</c:v>
                </c:pt>
                <c:pt idx="6">
                  <c:v>06/07</c:v>
                </c:pt>
                <c:pt idx="7">
                  <c:v>06/08</c:v>
                </c:pt>
                <c:pt idx="8">
                  <c:v>06/09</c:v>
                </c:pt>
                <c:pt idx="9">
                  <c:v>06/10</c:v>
                </c:pt>
                <c:pt idx="10">
                  <c:v>06/11</c:v>
                </c:pt>
                <c:pt idx="11">
                  <c:v>06/12</c:v>
                </c:pt>
                <c:pt idx="12">
                  <c:v>06/13</c:v>
                </c:pt>
                <c:pt idx="13">
                  <c:v>06/14</c:v>
                </c:pt>
                <c:pt idx="14">
                  <c:v>06/15</c:v>
                </c:pt>
                <c:pt idx="15">
                  <c:v>06/16</c:v>
                </c:pt>
                <c:pt idx="16">
                  <c:v>06/17</c:v>
                </c:pt>
                <c:pt idx="17">
                  <c:v>06/18</c:v>
                </c:pt>
                <c:pt idx="18">
                  <c:v>06/19</c:v>
                </c:pt>
              </c:strCache>
            </c:strRef>
          </c:cat>
          <c:val>
            <c:numRef>
              <c:f>'27totalmemsize'!$C$2:$C$20</c:f>
              <c:numCache>
                <c:formatCode>General</c:formatCode>
                <c:ptCount val="19"/>
                <c:pt idx="0">
                  <c:v>67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  <c:pt idx="6">
                  <c:v>66</c:v>
                </c:pt>
                <c:pt idx="7">
                  <c:v>66</c:v>
                </c:pt>
                <c:pt idx="8">
                  <c:v>66</c:v>
                </c:pt>
                <c:pt idx="9">
                  <c:v>66</c:v>
                </c:pt>
                <c:pt idx="10">
                  <c:v>66</c:v>
                </c:pt>
                <c:pt idx="11">
                  <c:v>66</c:v>
                </c:pt>
                <c:pt idx="12">
                  <c:v>66</c:v>
                </c:pt>
                <c:pt idx="13">
                  <c:v>66</c:v>
                </c:pt>
                <c:pt idx="14">
                  <c:v>66</c:v>
                </c:pt>
                <c:pt idx="15">
                  <c:v>66</c:v>
                </c:pt>
                <c:pt idx="16">
                  <c:v>67</c:v>
                </c:pt>
                <c:pt idx="17">
                  <c:v>66</c:v>
                </c:pt>
                <c:pt idx="18">
                  <c:v>66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664256"/>
        <c:axId val="512664800"/>
      </c:lineChart>
      <c:catAx>
        <c:axId val="51266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664800"/>
        <c:crosses val="autoZero"/>
        <c:auto val="1"/>
        <c:lblAlgn val="ctr"/>
        <c:lblOffset val="100"/>
        <c:tickLblSkip val="2"/>
        <c:noMultiLvlLbl val="0"/>
      </c:catAx>
      <c:valAx>
        <c:axId val="512664800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[&gt;=1000000]#0.0,,&quot;M&quot;;[&gt;=1000]#0.0,&quot;k&quot;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664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'27gc cr anti locks shrunk'!$B$1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'27gc cr anti locks shrunk'!$A$2:$A$20</c:f>
              <c:strCache>
                <c:ptCount val="19"/>
                <c:pt idx="0">
                  <c:v>06/01</c:v>
                </c:pt>
                <c:pt idx="1">
                  <c:v>06/02</c:v>
                </c:pt>
                <c:pt idx="2">
                  <c:v>06/03</c:v>
                </c:pt>
                <c:pt idx="3">
                  <c:v>06/04</c:v>
                </c:pt>
                <c:pt idx="4">
                  <c:v>06/05</c:v>
                </c:pt>
                <c:pt idx="5">
                  <c:v>06/06</c:v>
                </c:pt>
                <c:pt idx="6">
                  <c:v>06/07</c:v>
                </c:pt>
                <c:pt idx="7">
                  <c:v>06/08</c:v>
                </c:pt>
                <c:pt idx="8">
                  <c:v>06/09</c:v>
                </c:pt>
                <c:pt idx="9">
                  <c:v>06/10</c:v>
                </c:pt>
                <c:pt idx="10">
                  <c:v>06/11</c:v>
                </c:pt>
                <c:pt idx="11">
                  <c:v>06/12</c:v>
                </c:pt>
                <c:pt idx="12">
                  <c:v>06/13</c:v>
                </c:pt>
                <c:pt idx="13">
                  <c:v>06/14</c:v>
                </c:pt>
                <c:pt idx="14">
                  <c:v>06/15</c:v>
                </c:pt>
                <c:pt idx="15">
                  <c:v>06/16</c:v>
                </c:pt>
                <c:pt idx="16">
                  <c:v>06/17</c:v>
                </c:pt>
                <c:pt idx="17">
                  <c:v>06/18</c:v>
                </c:pt>
                <c:pt idx="18">
                  <c:v>06/19</c:v>
                </c:pt>
              </c:strCache>
            </c:strRef>
          </c:cat>
          <c:val>
            <c:numRef>
              <c:f>'27gc cr anti locks shrunk'!$B$2:$B$20</c:f>
              <c:numCache>
                <c:formatCode>General</c:formatCode>
                <c:ptCount val="19"/>
                <c:pt idx="0">
                  <c:v>15.4</c:v>
                </c:pt>
                <c:pt idx="1">
                  <c:v>0.8</c:v>
                </c:pt>
                <c:pt idx="2">
                  <c:v>0.2</c:v>
                </c:pt>
                <c:pt idx="3">
                  <c:v>1.2</c:v>
                </c:pt>
                <c:pt idx="4">
                  <c:v>1.1000000000000001</c:v>
                </c:pt>
                <c:pt idx="5">
                  <c:v>0.8</c:v>
                </c:pt>
                <c:pt idx="6">
                  <c:v>0.7</c:v>
                </c:pt>
                <c:pt idx="7">
                  <c:v>0.7</c:v>
                </c:pt>
                <c:pt idx="8">
                  <c:v>1.1000000000000001</c:v>
                </c:pt>
                <c:pt idx="9">
                  <c:v>1.8</c:v>
                </c:pt>
                <c:pt idx="10">
                  <c:v>0.9</c:v>
                </c:pt>
                <c:pt idx="11">
                  <c:v>0.9</c:v>
                </c:pt>
                <c:pt idx="12">
                  <c:v>0.8</c:v>
                </c:pt>
                <c:pt idx="13">
                  <c:v>1</c:v>
                </c:pt>
                <c:pt idx="14">
                  <c:v>3.1</c:v>
                </c:pt>
                <c:pt idx="15">
                  <c:v>9.1999999999999993</c:v>
                </c:pt>
                <c:pt idx="16">
                  <c:v>10.3</c:v>
                </c:pt>
                <c:pt idx="17">
                  <c:v>7.3</c:v>
                </c:pt>
                <c:pt idx="18">
                  <c:v>6.4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'27gc cr anti locks shrunk'!$C$1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'27gc cr anti locks shrunk'!$A$2:$A$20</c:f>
              <c:strCache>
                <c:ptCount val="19"/>
                <c:pt idx="0">
                  <c:v>06/01</c:v>
                </c:pt>
                <c:pt idx="1">
                  <c:v>06/02</c:v>
                </c:pt>
                <c:pt idx="2">
                  <c:v>06/03</c:v>
                </c:pt>
                <c:pt idx="3">
                  <c:v>06/04</c:v>
                </c:pt>
                <c:pt idx="4">
                  <c:v>06/05</c:v>
                </c:pt>
                <c:pt idx="5">
                  <c:v>06/06</c:v>
                </c:pt>
                <c:pt idx="6">
                  <c:v>06/07</c:v>
                </c:pt>
                <c:pt idx="7">
                  <c:v>06/08</c:v>
                </c:pt>
                <c:pt idx="8">
                  <c:v>06/09</c:v>
                </c:pt>
                <c:pt idx="9">
                  <c:v>06/10</c:v>
                </c:pt>
                <c:pt idx="10">
                  <c:v>06/11</c:v>
                </c:pt>
                <c:pt idx="11">
                  <c:v>06/12</c:v>
                </c:pt>
                <c:pt idx="12">
                  <c:v>06/13</c:v>
                </c:pt>
                <c:pt idx="13">
                  <c:v>06/14</c:v>
                </c:pt>
                <c:pt idx="14">
                  <c:v>06/15</c:v>
                </c:pt>
                <c:pt idx="15">
                  <c:v>06/16</c:v>
                </c:pt>
                <c:pt idx="16">
                  <c:v>06/17</c:v>
                </c:pt>
                <c:pt idx="17">
                  <c:v>06/18</c:v>
                </c:pt>
                <c:pt idx="18">
                  <c:v>06/19</c:v>
                </c:pt>
              </c:strCache>
            </c:strRef>
          </c:cat>
          <c:val>
            <c:numRef>
              <c:f>'27gc cr anti locks shrunk'!$C$2:$C$20</c:f>
              <c:numCache>
                <c:formatCode>General</c:formatCode>
                <c:ptCount val="19"/>
                <c:pt idx="0">
                  <c:v>8249</c:v>
                </c:pt>
                <c:pt idx="1">
                  <c:v>2417</c:v>
                </c:pt>
                <c:pt idx="2">
                  <c:v>1585</c:v>
                </c:pt>
                <c:pt idx="3">
                  <c:v>4480</c:v>
                </c:pt>
                <c:pt idx="4">
                  <c:v>3149</c:v>
                </c:pt>
                <c:pt idx="5">
                  <c:v>3399</c:v>
                </c:pt>
                <c:pt idx="6">
                  <c:v>975</c:v>
                </c:pt>
                <c:pt idx="7">
                  <c:v>1629</c:v>
                </c:pt>
                <c:pt idx="8">
                  <c:v>2059</c:v>
                </c:pt>
                <c:pt idx="9">
                  <c:v>3508</c:v>
                </c:pt>
                <c:pt idx="10">
                  <c:v>3611</c:v>
                </c:pt>
                <c:pt idx="11">
                  <c:v>2686</c:v>
                </c:pt>
                <c:pt idx="12">
                  <c:v>1943</c:v>
                </c:pt>
                <c:pt idx="13">
                  <c:v>632</c:v>
                </c:pt>
                <c:pt idx="14">
                  <c:v>29236</c:v>
                </c:pt>
                <c:pt idx="15">
                  <c:v>8136</c:v>
                </c:pt>
                <c:pt idx="16">
                  <c:v>7304</c:v>
                </c:pt>
                <c:pt idx="17">
                  <c:v>9550</c:v>
                </c:pt>
                <c:pt idx="18">
                  <c:v>2774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672416"/>
        <c:axId val="512666976"/>
      </c:lineChart>
      <c:catAx>
        <c:axId val="5126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666976"/>
        <c:crosses val="autoZero"/>
        <c:auto val="1"/>
        <c:lblAlgn val="ctr"/>
        <c:lblOffset val="100"/>
        <c:tickLblSkip val="2"/>
        <c:noMultiLvlLbl val="0"/>
      </c:catAx>
      <c:valAx>
        <c:axId val="512666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[&gt;=1000000]#0.0,,&quot;M&quot;;[&gt;=1000]#0.0,&quot;k&quot;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672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'27physical reads'!$B$1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'27physical reads'!$A$2:$A$20</c:f>
              <c:strCache>
                <c:ptCount val="19"/>
                <c:pt idx="0">
                  <c:v>06/01</c:v>
                </c:pt>
                <c:pt idx="1">
                  <c:v>06/02</c:v>
                </c:pt>
                <c:pt idx="2">
                  <c:v>06/03</c:v>
                </c:pt>
                <c:pt idx="3">
                  <c:v>06/04</c:v>
                </c:pt>
                <c:pt idx="4">
                  <c:v>06/05</c:v>
                </c:pt>
                <c:pt idx="5">
                  <c:v>06/06</c:v>
                </c:pt>
                <c:pt idx="6">
                  <c:v>06/07</c:v>
                </c:pt>
                <c:pt idx="7">
                  <c:v>06/08</c:v>
                </c:pt>
                <c:pt idx="8">
                  <c:v>06/09</c:v>
                </c:pt>
                <c:pt idx="9">
                  <c:v>06/10</c:v>
                </c:pt>
                <c:pt idx="10">
                  <c:v>06/11</c:v>
                </c:pt>
                <c:pt idx="11">
                  <c:v>06/12</c:v>
                </c:pt>
                <c:pt idx="12">
                  <c:v>06/13</c:v>
                </c:pt>
                <c:pt idx="13">
                  <c:v>06/14</c:v>
                </c:pt>
                <c:pt idx="14">
                  <c:v>06/15</c:v>
                </c:pt>
                <c:pt idx="15">
                  <c:v>06/16</c:v>
                </c:pt>
                <c:pt idx="16">
                  <c:v>06/17</c:v>
                </c:pt>
                <c:pt idx="17">
                  <c:v>06/18</c:v>
                </c:pt>
                <c:pt idx="18">
                  <c:v>06/19</c:v>
                </c:pt>
              </c:strCache>
            </c:strRef>
          </c:cat>
          <c:val>
            <c:numRef>
              <c:f>'27physical reads'!$B$2:$B$20</c:f>
              <c:numCache>
                <c:formatCode>General</c:formatCode>
                <c:ptCount val="19"/>
                <c:pt idx="0">
                  <c:v>35958</c:v>
                </c:pt>
                <c:pt idx="1">
                  <c:v>31210.799999999999</c:v>
                </c:pt>
                <c:pt idx="2">
                  <c:v>15586</c:v>
                </c:pt>
                <c:pt idx="3">
                  <c:v>31086</c:v>
                </c:pt>
                <c:pt idx="4">
                  <c:v>27889</c:v>
                </c:pt>
                <c:pt idx="5">
                  <c:v>14789.5</c:v>
                </c:pt>
                <c:pt idx="6">
                  <c:v>13086.2</c:v>
                </c:pt>
                <c:pt idx="7">
                  <c:v>40672.5</c:v>
                </c:pt>
                <c:pt idx="8">
                  <c:v>30944.5</c:v>
                </c:pt>
                <c:pt idx="9">
                  <c:v>33353.300000000003</c:v>
                </c:pt>
                <c:pt idx="10">
                  <c:v>21385.200000000001</c:v>
                </c:pt>
                <c:pt idx="11">
                  <c:v>92347.5</c:v>
                </c:pt>
                <c:pt idx="12">
                  <c:v>92561.600000000006</c:v>
                </c:pt>
                <c:pt idx="13">
                  <c:v>98630</c:v>
                </c:pt>
                <c:pt idx="14">
                  <c:v>119870.5</c:v>
                </c:pt>
                <c:pt idx="15">
                  <c:v>122763.5</c:v>
                </c:pt>
                <c:pt idx="16">
                  <c:v>135205.20000000001</c:v>
                </c:pt>
                <c:pt idx="17">
                  <c:v>148488</c:v>
                </c:pt>
                <c:pt idx="18">
                  <c:v>101078.9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'27physical reads'!$C$1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'27physical reads'!$A$2:$A$20</c:f>
              <c:strCache>
                <c:ptCount val="19"/>
                <c:pt idx="0">
                  <c:v>06/01</c:v>
                </c:pt>
                <c:pt idx="1">
                  <c:v>06/02</c:v>
                </c:pt>
                <c:pt idx="2">
                  <c:v>06/03</c:v>
                </c:pt>
                <c:pt idx="3">
                  <c:v>06/04</c:v>
                </c:pt>
                <c:pt idx="4">
                  <c:v>06/05</c:v>
                </c:pt>
                <c:pt idx="5">
                  <c:v>06/06</c:v>
                </c:pt>
                <c:pt idx="6">
                  <c:v>06/07</c:v>
                </c:pt>
                <c:pt idx="7">
                  <c:v>06/08</c:v>
                </c:pt>
                <c:pt idx="8">
                  <c:v>06/09</c:v>
                </c:pt>
                <c:pt idx="9">
                  <c:v>06/10</c:v>
                </c:pt>
                <c:pt idx="10">
                  <c:v>06/11</c:v>
                </c:pt>
                <c:pt idx="11">
                  <c:v>06/12</c:v>
                </c:pt>
                <c:pt idx="12">
                  <c:v>06/13</c:v>
                </c:pt>
                <c:pt idx="13">
                  <c:v>06/14</c:v>
                </c:pt>
                <c:pt idx="14">
                  <c:v>06/15</c:v>
                </c:pt>
                <c:pt idx="15">
                  <c:v>06/16</c:v>
                </c:pt>
                <c:pt idx="16">
                  <c:v>06/17</c:v>
                </c:pt>
                <c:pt idx="17">
                  <c:v>06/18</c:v>
                </c:pt>
                <c:pt idx="18">
                  <c:v>06/19</c:v>
                </c:pt>
              </c:strCache>
            </c:strRef>
          </c:cat>
          <c:val>
            <c:numRef>
              <c:f>'27physical reads'!$C$2:$C$20</c:f>
              <c:numCache>
                <c:formatCode>General</c:formatCode>
                <c:ptCount val="19"/>
                <c:pt idx="0">
                  <c:v>22593860</c:v>
                </c:pt>
                <c:pt idx="1">
                  <c:v>22291704</c:v>
                </c:pt>
                <c:pt idx="2">
                  <c:v>20822216</c:v>
                </c:pt>
                <c:pt idx="3">
                  <c:v>22405208</c:v>
                </c:pt>
                <c:pt idx="4">
                  <c:v>23251252</c:v>
                </c:pt>
                <c:pt idx="5">
                  <c:v>21888932</c:v>
                </c:pt>
                <c:pt idx="6">
                  <c:v>25206738</c:v>
                </c:pt>
                <c:pt idx="7">
                  <c:v>21328256</c:v>
                </c:pt>
                <c:pt idx="8">
                  <c:v>22026336</c:v>
                </c:pt>
                <c:pt idx="9">
                  <c:v>13372754</c:v>
                </c:pt>
                <c:pt idx="10">
                  <c:v>23071340</c:v>
                </c:pt>
                <c:pt idx="11">
                  <c:v>22918170</c:v>
                </c:pt>
                <c:pt idx="12">
                  <c:v>20836710</c:v>
                </c:pt>
                <c:pt idx="13">
                  <c:v>26451804</c:v>
                </c:pt>
                <c:pt idx="14">
                  <c:v>24944580</c:v>
                </c:pt>
                <c:pt idx="15">
                  <c:v>22714158</c:v>
                </c:pt>
                <c:pt idx="16">
                  <c:v>20612016</c:v>
                </c:pt>
                <c:pt idx="17">
                  <c:v>23579044</c:v>
                </c:pt>
                <c:pt idx="18">
                  <c:v>20177736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668064"/>
        <c:axId val="512669696"/>
      </c:lineChart>
      <c:catAx>
        <c:axId val="51266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669696"/>
        <c:crosses val="autoZero"/>
        <c:auto val="1"/>
        <c:lblAlgn val="ctr"/>
        <c:lblOffset val="100"/>
        <c:tickLblSkip val="2"/>
        <c:noMultiLvlLbl val="0"/>
      </c:catAx>
      <c:valAx>
        <c:axId val="512669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[&gt;=1000000]#0.0,,&quot;M&quot;;[&gt;=1000]#0.0,&quot;k&quot;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668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c:style val="2"/>
  <c:chart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'27session logical reads'!$B$1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'27session logical reads'!$A$2:$A$20</c:f>
              <c:strCache>
                <c:ptCount val="19"/>
                <c:pt idx="0">
                  <c:v>06/01</c:v>
                </c:pt>
                <c:pt idx="1">
                  <c:v>06/02</c:v>
                </c:pt>
                <c:pt idx="2">
                  <c:v>06/03</c:v>
                </c:pt>
                <c:pt idx="3">
                  <c:v>06/04</c:v>
                </c:pt>
                <c:pt idx="4">
                  <c:v>06/05</c:v>
                </c:pt>
                <c:pt idx="5">
                  <c:v>06/06</c:v>
                </c:pt>
                <c:pt idx="6">
                  <c:v>06/07</c:v>
                </c:pt>
                <c:pt idx="7">
                  <c:v>06/08</c:v>
                </c:pt>
                <c:pt idx="8">
                  <c:v>06/09</c:v>
                </c:pt>
                <c:pt idx="9">
                  <c:v>06/10</c:v>
                </c:pt>
                <c:pt idx="10">
                  <c:v>06/11</c:v>
                </c:pt>
                <c:pt idx="11">
                  <c:v>06/12</c:v>
                </c:pt>
                <c:pt idx="12">
                  <c:v>06/13</c:v>
                </c:pt>
                <c:pt idx="13">
                  <c:v>06/14</c:v>
                </c:pt>
                <c:pt idx="14">
                  <c:v>06/15</c:v>
                </c:pt>
                <c:pt idx="15">
                  <c:v>06/16</c:v>
                </c:pt>
                <c:pt idx="16">
                  <c:v>06/17</c:v>
                </c:pt>
                <c:pt idx="17">
                  <c:v>06/18</c:v>
                </c:pt>
                <c:pt idx="18">
                  <c:v>06/19</c:v>
                </c:pt>
              </c:strCache>
            </c:strRef>
          </c:cat>
          <c:val>
            <c:numRef>
              <c:f>'27session logical reads'!$B$2:$B$20</c:f>
              <c:numCache>
                <c:formatCode>General</c:formatCode>
                <c:ptCount val="19"/>
                <c:pt idx="0">
                  <c:v>1542816</c:v>
                </c:pt>
                <c:pt idx="1">
                  <c:v>1551200.8</c:v>
                </c:pt>
                <c:pt idx="2">
                  <c:v>1117849.1000000001</c:v>
                </c:pt>
                <c:pt idx="3">
                  <c:v>1491312.8</c:v>
                </c:pt>
                <c:pt idx="4">
                  <c:v>1467389.9</c:v>
                </c:pt>
                <c:pt idx="5">
                  <c:v>1071368</c:v>
                </c:pt>
                <c:pt idx="6">
                  <c:v>1130564.2</c:v>
                </c:pt>
                <c:pt idx="7">
                  <c:v>1490312.8</c:v>
                </c:pt>
                <c:pt idx="8">
                  <c:v>1451935.8</c:v>
                </c:pt>
                <c:pt idx="9">
                  <c:v>1577802.9</c:v>
                </c:pt>
                <c:pt idx="10">
                  <c:v>1488143.9</c:v>
                </c:pt>
                <c:pt idx="11">
                  <c:v>1374831.5</c:v>
                </c:pt>
                <c:pt idx="12">
                  <c:v>1213884</c:v>
                </c:pt>
                <c:pt idx="13">
                  <c:v>1220059</c:v>
                </c:pt>
                <c:pt idx="14">
                  <c:v>1587785.2</c:v>
                </c:pt>
                <c:pt idx="15">
                  <c:v>1643823.9</c:v>
                </c:pt>
                <c:pt idx="16">
                  <c:v>1856120.2</c:v>
                </c:pt>
                <c:pt idx="17">
                  <c:v>1774592.2</c:v>
                </c:pt>
                <c:pt idx="18">
                  <c:v>1591915.4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'27session logical reads'!$C$1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'27session logical reads'!$A$2:$A$20</c:f>
              <c:strCache>
                <c:ptCount val="19"/>
                <c:pt idx="0">
                  <c:v>06/01</c:v>
                </c:pt>
                <c:pt idx="1">
                  <c:v>06/02</c:v>
                </c:pt>
                <c:pt idx="2">
                  <c:v>06/03</c:v>
                </c:pt>
                <c:pt idx="3">
                  <c:v>06/04</c:v>
                </c:pt>
                <c:pt idx="4">
                  <c:v>06/05</c:v>
                </c:pt>
                <c:pt idx="5">
                  <c:v>06/06</c:v>
                </c:pt>
                <c:pt idx="6">
                  <c:v>06/07</c:v>
                </c:pt>
                <c:pt idx="7">
                  <c:v>06/08</c:v>
                </c:pt>
                <c:pt idx="8">
                  <c:v>06/09</c:v>
                </c:pt>
                <c:pt idx="9">
                  <c:v>06/10</c:v>
                </c:pt>
                <c:pt idx="10">
                  <c:v>06/11</c:v>
                </c:pt>
                <c:pt idx="11">
                  <c:v>06/12</c:v>
                </c:pt>
                <c:pt idx="12">
                  <c:v>06/13</c:v>
                </c:pt>
                <c:pt idx="13">
                  <c:v>06/14</c:v>
                </c:pt>
                <c:pt idx="14">
                  <c:v>06/15</c:v>
                </c:pt>
                <c:pt idx="15">
                  <c:v>06/16</c:v>
                </c:pt>
                <c:pt idx="16">
                  <c:v>06/17</c:v>
                </c:pt>
                <c:pt idx="17">
                  <c:v>06/18</c:v>
                </c:pt>
                <c:pt idx="18">
                  <c:v>06/19</c:v>
                </c:pt>
              </c:strCache>
            </c:strRef>
          </c:cat>
          <c:val>
            <c:numRef>
              <c:f>'27session logical reads'!$C$2:$C$20</c:f>
              <c:numCache>
                <c:formatCode>General</c:formatCode>
                <c:ptCount val="19"/>
                <c:pt idx="0">
                  <c:v>23824604</c:v>
                </c:pt>
                <c:pt idx="1">
                  <c:v>23956048</c:v>
                </c:pt>
                <c:pt idx="2">
                  <c:v>4295734300</c:v>
                </c:pt>
                <c:pt idx="3">
                  <c:v>23804648</c:v>
                </c:pt>
                <c:pt idx="4">
                  <c:v>24799724</c:v>
                </c:pt>
                <c:pt idx="5">
                  <c:v>23037500</c:v>
                </c:pt>
                <c:pt idx="6">
                  <c:v>26489202</c:v>
                </c:pt>
                <c:pt idx="7">
                  <c:v>22555974</c:v>
                </c:pt>
                <c:pt idx="8">
                  <c:v>23459698</c:v>
                </c:pt>
                <c:pt idx="9">
                  <c:v>15327171</c:v>
                </c:pt>
                <c:pt idx="10">
                  <c:v>24516684</c:v>
                </c:pt>
                <c:pt idx="11">
                  <c:v>24489474</c:v>
                </c:pt>
                <c:pt idx="12">
                  <c:v>22075632</c:v>
                </c:pt>
                <c:pt idx="13">
                  <c:v>28012644</c:v>
                </c:pt>
                <c:pt idx="14">
                  <c:v>26235168</c:v>
                </c:pt>
                <c:pt idx="15">
                  <c:v>24136144</c:v>
                </c:pt>
                <c:pt idx="16">
                  <c:v>22026326</c:v>
                </c:pt>
                <c:pt idx="17">
                  <c:v>24884376</c:v>
                </c:pt>
                <c:pt idx="18">
                  <c:v>21576716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671328"/>
        <c:axId val="512671872"/>
      </c:lineChart>
      <c:catAx>
        <c:axId val="51267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671872"/>
        <c:crosses val="autoZero"/>
        <c:auto val="1"/>
        <c:lblAlgn val="ctr"/>
        <c:lblOffset val="100"/>
        <c:tickLblSkip val="2"/>
        <c:noMultiLvlLbl val="0"/>
      </c:catAx>
      <c:valAx>
        <c:axId val="512671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[&gt;=1000000]#0.0,,&quot;M&quot;;[&gt;=1000]#0.0,&quot;k&quot;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671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13</xdr:col>
      <xdr:colOff>0</xdr:colOff>
      <xdr:row>19</xdr:row>
      <xdr:rowOff>152400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13</xdr:col>
      <xdr:colOff>0</xdr:colOff>
      <xdr:row>36</xdr:row>
      <xdr:rowOff>152400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13</xdr:col>
      <xdr:colOff>0</xdr:colOff>
      <xdr:row>53</xdr:row>
      <xdr:rowOff>152400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13</xdr:col>
      <xdr:colOff>0</xdr:colOff>
      <xdr:row>70</xdr:row>
      <xdr:rowOff>152400</xdr:rowOff>
    </xdr:to>
    <xdr:graphicFrame macro="">
      <xdr:nvGraphicFramePr>
        <xdr:cNvPr id="5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13</xdr:col>
      <xdr:colOff>0</xdr:colOff>
      <xdr:row>87</xdr:row>
      <xdr:rowOff>152400</xdr:rowOff>
    </xdr:to>
    <xdr:graphicFrame macro="">
      <xdr:nvGraphicFramePr>
        <xdr:cNvPr id="6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92"/>
  <sheetViews>
    <sheetView showGridLines="0" tabSelected="1" topLeftCell="H4" workbookViewId="0">
      <selection activeCell="AH13" sqref="AH13"/>
    </sheetView>
  </sheetViews>
  <sheetFormatPr defaultRowHeight="16.5" x14ac:dyDescent="0.3"/>
  <cols>
    <col min="1" max="13" width="7" customWidth="1"/>
  </cols>
  <sheetData>
    <row r="1" spans="1:34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34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34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3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34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7" spans="1:34" x14ac:dyDescent="0.3">
      <c r="G7" s="11" t="s">
        <v>1</v>
      </c>
      <c r="H7" s="11" t="s">
        <v>2</v>
      </c>
      <c r="I7" s="11" t="s">
        <v>2</v>
      </c>
      <c r="J7" s="11" t="s">
        <v>3</v>
      </c>
      <c r="K7" s="11" t="s">
        <v>2</v>
      </c>
      <c r="L7" s="11" t="s">
        <v>2</v>
      </c>
      <c r="M7" s="11" t="s">
        <v>2</v>
      </c>
    </row>
    <row r="8" spans="1:34" x14ac:dyDescent="0.3">
      <c r="G8" s="12" t="s">
        <v>4</v>
      </c>
      <c r="H8" s="12" t="s">
        <v>2</v>
      </c>
      <c r="I8" s="12" t="s">
        <v>2</v>
      </c>
      <c r="J8" s="12" t="s">
        <v>5</v>
      </c>
      <c r="K8" s="12" t="s">
        <v>2</v>
      </c>
      <c r="L8" s="12" t="s">
        <v>2</v>
      </c>
      <c r="M8" s="12" t="s">
        <v>2</v>
      </c>
    </row>
    <row r="9" spans="1:34" ht="26.25" x14ac:dyDescent="0.5">
      <c r="A9" s="1" t="s">
        <v>6</v>
      </c>
    </row>
    <row r="10" spans="1:34" ht="26.25" x14ac:dyDescent="0.5">
      <c r="A10" s="1" t="s">
        <v>4</v>
      </c>
    </row>
    <row r="11" spans="1:34" ht="17.25" x14ac:dyDescent="0.3">
      <c r="A11" s="2" t="s">
        <v>7</v>
      </c>
    </row>
    <row r="12" spans="1:34" x14ac:dyDescent="0.3">
      <c r="O12" s="5">
        <v>30.6</v>
      </c>
      <c r="P12" s="5">
        <v>25.7</v>
      </c>
      <c r="Q12" s="5">
        <v>21.7</v>
      </c>
      <c r="R12" s="5">
        <v>25.6</v>
      </c>
      <c r="S12" s="5">
        <v>24.5</v>
      </c>
      <c r="T12" s="5">
        <v>18.5</v>
      </c>
      <c r="U12" s="5">
        <v>18.2</v>
      </c>
      <c r="V12" s="5">
        <v>26</v>
      </c>
      <c r="W12" s="5">
        <v>24.1</v>
      </c>
      <c r="X12" s="5">
        <v>29.1</v>
      </c>
      <c r="Y12" s="5">
        <v>22.1</v>
      </c>
      <c r="Z12" s="5">
        <v>20.5</v>
      </c>
      <c r="AA12" s="5">
        <v>16.899999999999999</v>
      </c>
      <c r="AB12" s="5">
        <v>16.899999999999999</v>
      </c>
      <c r="AC12" s="5">
        <v>24.2</v>
      </c>
      <c r="AD12" s="5">
        <v>22.9</v>
      </c>
      <c r="AE12" s="5">
        <v>30.7</v>
      </c>
      <c r="AF12" s="5">
        <v>24.4</v>
      </c>
      <c r="AG12" s="5">
        <v>22.3</v>
      </c>
      <c r="AH12">
        <f>AVERAGE(O12:AG12)</f>
        <v>23.415789473684203</v>
      </c>
    </row>
    <row r="21" spans="1:13" x14ac:dyDescent="0.3">
      <c r="A21" s="4" t="s">
        <v>8</v>
      </c>
      <c r="B21" s="4" t="s">
        <v>9</v>
      </c>
      <c r="C21" s="4" t="s">
        <v>10</v>
      </c>
      <c r="D21" s="4" t="s">
        <v>11</v>
      </c>
      <c r="E21" s="4" t="s">
        <v>12</v>
      </c>
      <c r="F21" s="4" t="s">
        <v>13</v>
      </c>
      <c r="G21" s="4" t="s">
        <v>14</v>
      </c>
      <c r="H21" s="4" t="s">
        <v>15</v>
      </c>
      <c r="I21" s="4" t="s">
        <v>16</v>
      </c>
      <c r="J21" s="4" t="s">
        <v>17</v>
      </c>
      <c r="K21" s="4" t="s">
        <v>18</v>
      </c>
      <c r="L21" s="4" t="s">
        <v>19</v>
      </c>
      <c r="M21" s="4" t="s">
        <v>20</v>
      </c>
    </row>
    <row r="22" spans="1:13" x14ac:dyDescent="0.3">
      <c r="A22" s="8" t="s">
        <v>21</v>
      </c>
      <c r="B22" s="5">
        <v>30.6</v>
      </c>
      <c r="C22" s="5">
        <v>25.7</v>
      </c>
      <c r="D22" s="5">
        <v>21.7</v>
      </c>
      <c r="E22" s="5">
        <v>25.6</v>
      </c>
      <c r="F22" s="5">
        <v>24.5</v>
      </c>
      <c r="G22" s="5">
        <v>18.5</v>
      </c>
      <c r="H22" s="5">
        <v>18.2</v>
      </c>
      <c r="I22" s="5">
        <v>26</v>
      </c>
      <c r="J22" s="5">
        <v>24.1</v>
      </c>
      <c r="K22" s="5">
        <v>29.1</v>
      </c>
      <c r="L22" s="5">
        <v>22.1</v>
      </c>
      <c r="M22" s="5">
        <v>20.5</v>
      </c>
    </row>
    <row r="23" spans="1:13" x14ac:dyDescent="0.3">
      <c r="A23" s="8" t="s">
        <v>22</v>
      </c>
      <c r="B23" s="5">
        <v>90.2</v>
      </c>
      <c r="C23" s="5">
        <v>81.7</v>
      </c>
      <c r="D23" s="5">
        <v>55.2</v>
      </c>
      <c r="E23" s="5">
        <v>65.2</v>
      </c>
      <c r="F23" s="5">
        <v>60.3</v>
      </c>
      <c r="G23" s="5">
        <v>50.2</v>
      </c>
      <c r="H23" s="5">
        <v>46.4</v>
      </c>
      <c r="I23" s="5">
        <v>74.7</v>
      </c>
      <c r="J23" s="5">
        <v>61.6</v>
      </c>
      <c r="K23" s="5">
        <v>73.400000000000006</v>
      </c>
      <c r="L23" s="5">
        <v>62.7</v>
      </c>
      <c r="M23" s="5">
        <v>53.7</v>
      </c>
    </row>
    <row r="24" spans="1:13" x14ac:dyDescent="0.3">
      <c r="A24" s="4" t="s">
        <v>8</v>
      </c>
      <c r="B24" s="4" t="s">
        <v>23</v>
      </c>
      <c r="C24" s="4" t="s">
        <v>24</v>
      </c>
      <c r="D24" s="4" t="s">
        <v>25</v>
      </c>
      <c r="E24" s="4" t="s">
        <v>26</v>
      </c>
      <c r="F24" s="4" t="s">
        <v>27</v>
      </c>
      <c r="G24" s="4" t="s">
        <v>28</v>
      </c>
      <c r="H24" s="4" t="s">
        <v>29</v>
      </c>
    </row>
    <row r="25" spans="1:13" x14ac:dyDescent="0.3">
      <c r="A25" s="8" t="s">
        <v>21</v>
      </c>
      <c r="B25" s="5">
        <v>16.899999999999999</v>
      </c>
      <c r="C25" s="5">
        <v>16.899999999999999</v>
      </c>
      <c r="D25" s="5">
        <v>24.2</v>
      </c>
      <c r="E25" s="5">
        <v>22.9</v>
      </c>
      <c r="F25" s="5">
        <v>30.7</v>
      </c>
      <c r="G25" s="5">
        <v>24.4</v>
      </c>
      <c r="H25" s="5">
        <v>22.3</v>
      </c>
      <c r="I25">
        <f>AVERAGE(B25:H25)</f>
        <v>22.614285714285717</v>
      </c>
    </row>
    <row r="26" spans="1:13" x14ac:dyDescent="0.3">
      <c r="A26" s="8" t="s">
        <v>22</v>
      </c>
      <c r="B26" s="5">
        <v>48.2</v>
      </c>
      <c r="C26" s="5">
        <v>48.4</v>
      </c>
      <c r="D26" s="5">
        <v>60.2</v>
      </c>
      <c r="E26" s="5">
        <v>57.6</v>
      </c>
      <c r="F26" s="5">
        <v>81.2</v>
      </c>
      <c r="G26" s="5">
        <v>68.3</v>
      </c>
      <c r="H26" s="5">
        <v>59.9</v>
      </c>
    </row>
    <row r="28" spans="1:13" ht="17.25" x14ac:dyDescent="0.3">
      <c r="A28" s="2" t="s">
        <v>30</v>
      </c>
    </row>
    <row r="38" spans="1:13" x14ac:dyDescent="0.3">
      <c r="A38" s="4" t="s">
        <v>8</v>
      </c>
      <c r="B38" s="4" t="s">
        <v>9</v>
      </c>
      <c r="C38" s="4" t="s">
        <v>10</v>
      </c>
      <c r="D38" s="4" t="s">
        <v>11</v>
      </c>
      <c r="E38" s="4" t="s">
        <v>12</v>
      </c>
      <c r="F38" s="4" t="s">
        <v>13</v>
      </c>
      <c r="G38" s="4" t="s">
        <v>14</v>
      </c>
      <c r="H38" s="4" t="s">
        <v>15</v>
      </c>
      <c r="I38" s="4" t="s">
        <v>16</v>
      </c>
      <c r="J38" s="4" t="s">
        <v>17</v>
      </c>
      <c r="K38" s="4" t="s">
        <v>18</v>
      </c>
      <c r="L38" s="4" t="s">
        <v>19</v>
      </c>
      <c r="M38" s="4" t="s">
        <v>20</v>
      </c>
    </row>
    <row r="39" spans="1:13" x14ac:dyDescent="0.3">
      <c r="A39" s="8" t="s">
        <v>21</v>
      </c>
      <c r="B39" s="5">
        <v>65</v>
      </c>
      <c r="C39" s="5">
        <v>65</v>
      </c>
      <c r="D39" s="5">
        <v>65</v>
      </c>
      <c r="E39" s="5">
        <v>65</v>
      </c>
      <c r="F39" s="5">
        <v>65</v>
      </c>
      <c r="G39" s="5">
        <v>65</v>
      </c>
      <c r="H39" s="5">
        <v>65</v>
      </c>
      <c r="I39" s="5">
        <v>65</v>
      </c>
      <c r="J39" s="5">
        <v>65</v>
      </c>
      <c r="K39" s="5">
        <v>65</v>
      </c>
      <c r="L39" s="5">
        <v>65</v>
      </c>
      <c r="M39" s="5">
        <v>65</v>
      </c>
    </row>
    <row r="40" spans="1:13" x14ac:dyDescent="0.3">
      <c r="A40" s="8" t="s">
        <v>22</v>
      </c>
      <c r="B40" s="5">
        <v>67</v>
      </c>
      <c r="C40" s="5">
        <v>66</v>
      </c>
      <c r="D40" s="5">
        <v>66</v>
      </c>
      <c r="E40" s="5">
        <v>66</v>
      </c>
      <c r="F40" s="5">
        <v>66</v>
      </c>
      <c r="G40" s="5">
        <v>66</v>
      </c>
      <c r="H40" s="5">
        <v>66</v>
      </c>
      <c r="I40" s="5">
        <v>66</v>
      </c>
      <c r="J40" s="5">
        <v>66</v>
      </c>
      <c r="K40" s="5">
        <v>66</v>
      </c>
      <c r="L40" s="5">
        <v>66</v>
      </c>
      <c r="M40" s="5">
        <v>66</v>
      </c>
    </row>
    <row r="41" spans="1:13" x14ac:dyDescent="0.3">
      <c r="A41" s="4" t="s">
        <v>8</v>
      </c>
      <c r="B41" s="4" t="s">
        <v>23</v>
      </c>
      <c r="C41" s="4" t="s">
        <v>24</v>
      </c>
      <c r="D41" s="4" t="s">
        <v>25</v>
      </c>
      <c r="E41" s="4" t="s">
        <v>26</v>
      </c>
      <c r="F41" s="4" t="s">
        <v>27</v>
      </c>
      <c r="G41" s="4" t="s">
        <v>28</v>
      </c>
      <c r="H41" s="4" t="s">
        <v>29</v>
      </c>
    </row>
    <row r="42" spans="1:13" x14ac:dyDescent="0.3">
      <c r="A42" s="8" t="s">
        <v>21</v>
      </c>
      <c r="B42" s="5">
        <v>65</v>
      </c>
      <c r="C42" s="5">
        <v>65</v>
      </c>
      <c r="D42" s="5">
        <v>65</v>
      </c>
      <c r="E42" s="5">
        <v>65</v>
      </c>
      <c r="F42" s="5">
        <v>65</v>
      </c>
      <c r="G42" s="5">
        <v>65</v>
      </c>
      <c r="H42" s="5">
        <v>65</v>
      </c>
    </row>
    <row r="43" spans="1:13" x14ac:dyDescent="0.3">
      <c r="A43" s="8" t="s">
        <v>22</v>
      </c>
      <c r="B43" s="5">
        <v>66</v>
      </c>
      <c r="C43" s="5">
        <v>66</v>
      </c>
      <c r="D43" s="5">
        <v>66</v>
      </c>
      <c r="E43" s="5">
        <v>66</v>
      </c>
      <c r="F43" s="5">
        <v>67</v>
      </c>
      <c r="G43" s="5">
        <v>66</v>
      </c>
      <c r="H43" s="5">
        <v>66</v>
      </c>
    </row>
    <row r="45" spans="1:13" ht="17.25" x14ac:dyDescent="0.3">
      <c r="A45" s="2" t="s">
        <v>31</v>
      </c>
    </row>
    <row r="55" spans="1:13" x14ac:dyDescent="0.3">
      <c r="A55" s="4" t="s">
        <v>8</v>
      </c>
      <c r="B55" s="4" t="s">
        <v>9</v>
      </c>
      <c r="C55" s="4" t="s">
        <v>10</v>
      </c>
      <c r="D55" s="4" t="s">
        <v>11</v>
      </c>
      <c r="E55" s="4" t="s">
        <v>12</v>
      </c>
      <c r="F55" s="4" t="s">
        <v>13</v>
      </c>
      <c r="G55" s="4" t="s">
        <v>14</v>
      </c>
      <c r="H55" s="4" t="s">
        <v>15</v>
      </c>
      <c r="I55" s="4" t="s">
        <v>16</v>
      </c>
      <c r="J55" s="4" t="s">
        <v>17</v>
      </c>
      <c r="K55" s="4" t="s">
        <v>18</v>
      </c>
      <c r="L55" s="4" t="s">
        <v>19</v>
      </c>
      <c r="M55" s="4" t="s">
        <v>20</v>
      </c>
    </row>
    <row r="56" spans="1:13" x14ac:dyDescent="0.3">
      <c r="A56" s="8" t="s">
        <v>21</v>
      </c>
      <c r="B56" s="5">
        <v>15.4</v>
      </c>
      <c r="C56" s="5">
        <v>0.8</v>
      </c>
      <c r="D56" s="5">
        <v>0.2</v>
      </c>
      <c r="E56" s="5">
        <v>1.2</v>
      </c>
      <c r="F56" s="5">
        <v>1.1000000000000001</v>
      </c>
      <c r="G56" s="5">
        <v>0.8</v>
      </c>
      <c r="H56" s="5">
        <v>0.7</v>
      </c>
      <c r="I56" s="5">
        <v>0.7</v>
      </c>
      <c r="J56" s="5">
        <v>1.1000000000000001</v>
      </c>
      <c r="K56" s="5">
        <v>1.8</v>
      </c>
      <c r="L56" s="5">
        <v>0.9</v>
      </c>
      <c r="M56" s="5">
        <v>0.9</v>
      </c>
    </row>
    <row r="57" spans="1:13" x14ac:dyDescent="0.3">
      <c r="A57" s="8" t="s">
        <v>22</v>
      </c>
      <c r="B57" s="5" t="s">
        <v>32</v>
      </c>
      <c r="C57" s="5" t="s">
        <v>33</v>
      </c>
      <c r="D57" s="5" t="s">
        <v>34</v>
      </c>
      <c r="E57" s="5" t="s">
        <v>35</v>
      </c>
      <c r="F57" s="5" t="s">
        <v>36</v>
      </c>
      <c r="G57" s="5" t="s">
        <v>37</v>
      </c>
      <c r="H57" s="5">
        <v>975</v>
      </c>
      <c r="I57" s="5" t="s">
        <v>34</v>
      </c>
      <c r="J57" s="5" t="s">
        <v>38</v>
      </c>
      <c r="K57" s="5" t="s">
        <v>39</v>
      </c>
      <c r="L57" s="5" t="s">
        <v>40</v>
      </c>
      <c r="M57" s="5" t="s">
        <v>41</v>
      </c>
    </row>
    <row r="58" spans="1:13" x14ac:dyDescent="0.3">
      <c r="A58" s="4" t="s">
        <v>8</v>
      </c>
      <c r="B58" s="4" t="s">
        <v>23</v>
      </c>
      <c r="C58" s="4" t="s">
        <v>24</v>
      </c>
      <c r="D58" s="4" t="s">
        <v>25</v>
      </c>
      <c r="E58" s="4" t="s">
        <v>26</v>
      </c>
      <c r="F58" s="4" t="s">
        <v>27</v>
      </c>
      <c r="G58" s="4" t="s">
        <v>28</v>
      </c>
      <c r="H58" s="4" t="s">
        <v>29</v>
      </c>
    </row>
    <row r="59" spans="1:13" x14ac:dyDescent="0.3">
      <c r="A59" s="8" t="s">
        <v>21</v>
      </c>
      <c r="B59" s="5">
        <v>0.8</v>
      </c>
      <c r="C59" s="5">
        <v>1</v>
      </c>
      <c r="D59" s="5">
        <v>3.1</v>
      </c>
      <c r="E59" s="5">
        <v>9.1999999999999993</v>
      </c>
      <c r="F59" s="5">
        <v>10.3</v>
      </c>
      <c r="G59" s="5">
        <v>7.3</v>
      </c>
      <c r="H59" s="5">
        <v>6.4</v>
      </c>
    </row>
    <row r="60" spans="1:13" x14ac:dyDescent="0.3">
      <c r="A60" s="8" t="s">
        <v>22</v>
      </c>
      <c r="B60" s="5" t="s">
        <v>42</v>
      </c>
      <c r="C60" s="5">
        <v>632</v>
      </c>
      <c r="D60" s="5" t="s">
        <v>43</v>
      </c>
      <c r="E60" s="5" t="s">
        <v>44</v>
      </c>
      <c r="F60" s="5" t="s">
        <v>45</v>
      </c>
      <c r="G60" s="5" t="s">
        <v>46</v>
      </c>
      <c r="H60" s="5" t="s">
        <v>47</v>
      </c>
    </row>
    <row r="62" spans="1:13" ht="17.25" x14ac:dyDescent="0.3">
      <c r="A62" s="2" t="s">
        <v>48</v>
      </c>
    </row>
    <row r="72" spans="1:13" x14ac:dyDescent="0.3">
      <c r="A72" s="4" t="s">
        <v>8</v>
      </c>
      <c r="B72" s="4" t="s">
        <v>9</v>
      </c>
      <c r="C72" s="4" t="s">
        <v>10</v>
      </c>
      <c r="D72" s="4" t="s">
        <v>11</v>
      </c>
      <c r="E72" s="4" t="s">
        <v>12</v>
      </c>
      <c r="F72" s="4" t="s">
        <v>13</v>
      </c>
      <c r="G72" s="4" t="s">
        <v>14</v>
      </c>
      <c r="H72" s="4" t="s">
        <v>15</v>
      </c>
      <c r="I72" s="4" t="s">
        <v>16</v>
      </c>
      <c r="J72" s="4" t="s">
        <v>17</v>
      </c>
      <c r="K72" s="4" t="s">
        <v>18</v>
      </c>
      <c r="L72" s="4" t="s">
        <v>19</v>
      </c>
      <c r="M72" s="4" t="s">
        <v>20</v>
      </c>
    </row>
    <row r="73" spans="1:13" x14ac:dyDescent="0.3">
      <c r="A73" s="8" t="s">
        <v>21</v>
      </c>
      <c r="B73" s="5" t="s">
        <v>49</v>
      </c>
      <c r="C73" s="5" t="s">
        <v>50</v>
      </c>
      <c r="D73" s="5" t="s">
        <v>51</v>
      </c>
      <c r="E73" s="5" t="s">
        <v>52</v>
      </c>
      <c r="F73" s="5" t="s">
        <v>53</v>
      </c>
      <c r="G73" s="5" t="s">
        <v>54</v>
      </c>
      <c r="H73" s="5" t="s">
        <v>55</v>
      </c>
      <c r="I73" s="5" t="s">
        <v>56</v>
      </c>
      <c r="J73" s="5" t="s">
        <v>57</v>
      </c>
      <c r="K73" s="5" t="s">
        <v>58</v>
      </c>
      <c r="L73" s="5" t="s">
        <v>59</v>
      </c>
      <c r="M73" s="5" t="s">
        <v>60</v>
      </c>
    </row>
    <row r="74" spans="1:13" x14ac:dyDescent="0.3">
      <c r="A74" s="8" t="s">
        <v>22</v>
      </c>
      <c r="B74" s="5" t="s">
        <v>61</v>
      </c>
      <c r="C74" s="5" t="s">
        <v>62</v>
      </c>
      <c r="D74" s="5" t="s">
        <v>63</v>
      </c>
      <c r="E74" s="5" t="s">
        <v>64</v>
      </c>
      <c r="F74" s="5" t="s">
        <v>65</v>
      </c>
      <c r="G74" s="5" t="s">
        <v>66</v>
      </c>
      <c r="H74" s="5" t="s">
        <v>67</v>
      </c>
      <c r="I74" s="5" t="s">
        <v>68</v>
      </c>
      <c r="J74" s="5" t="s">
        <v>69</v>
      </c>
      <c r="K74" s="5" t="s">
        <v>70</v>
      </c>
      <c r="L74" s="5" t="s">
        <v>71</v>
      </c>
      <c r="M74" s="5" t="s">
        <v>72</v>
      </c>
    </row>
    <row r="75" spans="1:13" x14ac:dyDescent="0.3">
      <c r="A75" s="4" t="s">
        <v>8</v>
      </c>
      <c r="B75" s="4" t="s">
        <v>23</v>
      </c>
      <c r="C75" s="4" t="s">
        <v>24</v>
      </c>
      <c r="D75" s="4" t="s">
        <v>25</v>
      </c>
      <c r="E75" s="4" t="s">
        <v>26</v>
      </c>
      <c r="F75" s="4" t="s">
        <v>27</v>
      </c>
      <c r="G75" s="4" t="s">
        <v>28</v>
      </c>
      <c r="H75" s="4" t="s">
        <v>29</v>
      </c>
    </row>
    <row r="76" spans="1:13" x14ac:dyDescent="0.3">
      <c r="A76" s="8" t="s">
        <v>21</v>
      </c>
      <c r="B76" s="5" t="s">
        <v>73</v>
      </c>
      <c r="C76" s="5" t="s">
        <v>74</v>
      </c>
      <c r="D76" s="5" t="s">
        <v>75</v>
      </c>
      <c r="E76" s="5" t="s">
        <v>76</v>
      </c>
      <c r="F76" s="5" t="s">
        <v>77</v>
      </c>
      <c r="G76" s="5" t="s">
        <v>78</v>
      </c>
      <c r="H76" s="5" t="s">
        <v>79</v>
      </c>
    </row>
    <row r="77" spans="1:13" x14ac:dyDescent="0.3">
      <c r="A77" s="8" t="s">
        <v>22</v>
      </c>
      <c r="B77" s="5" t="s">
        <v>63</v>
      </c>
      <c r="C77" s="5" t="s">
        <v>80</v>
      </c>
      <c r="D77" s="5" t="s">
        <v>81</v>
      </c>
      <c r="E77" s="5" t="s">
        <v>82</v>
      </c>
      <c r="F77" s="5" t="s">
        <v>83</v>
      </c>
      <c r="G77" s="5" t="s">
        <v>84</v>
      </c>
      <c r="H77" s="5" t="s">
        <v>85</v>
      </c>
    </row>
    <row r="79" spans="1:13" ht="17.25" x14ac:dyDescent="0.3">
      <c r="A79" s="2" t="s">
        <v>86</v>
      </c>
    </row>
    <row r="89" spans="1:13" x14ac:dyDescent="0.3">
      <c r="A89" s="4" t="s">
        <v>8</v>
      </c>
      <c r="B89" s="4" t="s">
        <v>9</v>
      </c>
      <c r="C89" s="4" t="s">
        <v>10</v>
      </c>
      <c r="D89" s="4" t="s">
        <v>11</v>
      </c>
      <c r="E89" s="4" t="s">
        <v>12</v>
      </c>
      <c r="F89" s="4" t="s">
        <v>13</v>
      </c>
      <c r="G89" s="4" t="s">
        <v>14</v>
      </c>
      <c r="H89" s="4" t="s">
        <v>15</v>
      </c>
      <c r="I89" s="4" t="s">
        <v>16</v>
      </c>
      <c r="J89" s="4" t="s">
        <v>17</v>
      </c>
      <c r="K89" s="4" t="s">
        <v>18</v>
      </c>
      <c r="L89" s="4" t="s">
        <v>19</v>
      </c>
      <c r="M89" s="4" t="s">
        <v>20</v>
      </c>
    </row>
    <row r="90" spans="1:13" x14ac:dyDescent="0.3">
      <c r="A90" s="8" t="s">
        <v>21</v>
      </c>
      <c r="B90" s="5" t="s">
        <v>87</v>
      </c>
      <c r="C90" s="5" t="s">
        <v>88</v>
      </c>
      <c r="D90" s="5" t="s">
        <v>89</v>
      </c>
      <c r="E90" s="5" t="s">
        <v>87</v>
      </c>
      <c r="F90" s="5" t="s">
        <v>87</v>
      </c>
      <c r="G90" s="5" t="s">
        <v>89</v>
      </c>
      <c r="H90" s="5" t="s">
        <v>89</v>
      </c>
      <c r="I90" s="5" t="s">
        <v>87</v>
      </c>
      <c r="J90" s="5" t="s">
        <v>87</v>
      </c>
      <c r="K90" s="5" t="s">
        <v>88</v>
      </c>
      <c r="L90" s="5" t="s">
        <v>87</v>
      </c>
      <c r="M90" s="5" t="s">
        <v>90</v>
      </c>
    </row>
    <row r="91" spans="1:13" x14ac:dyDescent="0.3">
      <c r="A91" s="8" t="s">
        <v>22</v>
      </c>
      <c r="B91" s="5" t="s">
        <v>91</v>
      </c>
      <c r="C91" s="5" t="s">
        <v>92</v>
      </c>
      <c r="D91" s="5" t="s">
        <v>93</v>
      </c>
      <c r="E91" s="5" t="s">
        <v>91</v>
      </c>
      <c r="F91" s="5" t="s">
        <v>94</v>
      </c>
      <c r="G91" s="5" t="s">
        <v>95</v>
      </c>
      <c r="H91" s="5" t="s">
        <v>80</v>
      </c>
      <c r="I91" s="5" t="s">
        <v>61</v>
      </c>
      <c r="J91" s="5" t="s">
        <v>96</v>
      </c>
      <c r="K91" s="5" t="s">
        <v>97</v>
      </c>
      <c r="L91" s="5" t="s">
        <v>98</v>
      </c>
      <c r="M91" s="5" t="s">
        <v>98</v>
      </c>
    </row>
    <row r="92" spans="1:13" x14ac:dyDescent="0.3">
      <c r="A92" s="4" t="s">
        <v>8</v>
      </c>
      <c r="B92" s="4" t="s">
        <v>23</v>
      </c>
      <c r="C92" s="4" t="s">
        <v>24</v>
      </c>
      <c r="D92" s="4" t="s">
        <v>25</v>
      </c>
      <c r="E92" s="4" t="s">
        <v>26</v>
      </c>
      <c r="F92" s="4" t="s">
        <v>27</v>
      </c>
      <c r="G92" s="4" t="s">
        <v>28</v>
      </c>
      <c r="H92" s="4" t="s">
        <v>29</v>
      </c>
    </row>
    <row r="93" spans="1:13" x14ac:dyDescent="0.3">
      <c r="A93" s="8" t="s">
        <v>21</v>
      </c>
      <c r="B93" s="5" t="s">
        <v>99</v>
      </c>
      <c r="C93" s="5" t="s">
        <v>99</v>
      </c>
      <c r="D93" s="5" t="s">
        <v>88</v>
      </c>
      <c r="E93" s="5" t="s">
        <v>88</v>
      </c>
      <c r="F93" s="5" t="s">
        <v>100</v>
      </c>
      <c r="G93" s="5" t="s">
        <v>101</v>
      </c>
      <c r="H93" s="5" t="s">
        <v>88</v>
      </c>
    </row>
    <row r="94" spans="1:13" x14ac:dyDescent="0.3">
      <c r="A94" s="8" t="s">
        <v>22</v>
      </c>
      <c r="B94" s="5" t="s">
        <v>102</v>
      </c>
      <c r="C94" s="5" t="s">
        <v>103</v>
      </c>
      <c r="D94" s="5" t="s">
        <v>104</v>
      </c>
      <c r="E94" s="5" t="s">
        <v>105</v>
      </c>
      <c r="F94" s="5" t="s">
        <v>69</v>
      </c>
      <c r="G94" s="5" t="s">
        <v>81</v>
      </c>
      <c r="H94" s="5" t="s">
        <v>106</v>
      </c>
    </row>
    <row r="96" spans="1:13" ht="26.25" x14ac:dyDescent="0.5">
      <c r="A96" s="1" t="s">
        <v>107</v>
      </c>
    </row>
    <row r="97" spans="1:13" ht="17.25" x14ac:dyDescent="0.3">
      <c r="A97" s="2" t="s">
        <v>108</v>
      </c>
    </row>
    <row r="98" spans="1:13" x14ac:dyDescent="0.3">
      <c r="A98" s="3" t="s">
        <v>109</v>
      </c>
    </row>
    <row r="99" spans="1:13" ht="50.1" customHeight="1" x14ac:dyDescent="0.3">
      <c r="A99" s="13" t="s">
        <v>110</v>
      </c>
      <c r="B99" s="13" t="s">
        <v>111</v>
      </c>
      <c r="C99" s="13" t="s">
        <v>112</v>
      </c>
      <c r="D99" s="13" t="s">
        <v>111</v>
      </c>
      <c r="E99" s="13" t="s">
        <v>113</v>
      </c>
      <c r="F99" s="13" t="s">
        <v>111</v>
      </c>
      <c r="G99" s="13" t="s">
        <v>114</v>
      </c>
      <c r="H99" s="13" t="s">
        <v>111</v>
      </c>
      <c r="I99" s="4" t="s">
        <v>115</v>
      </c>
      <c r="J99" s="4" t="s">
        <v>116</v>
      </c>
      <c r="K99" s="4" t="s">
        <v>117</v>
      </c>
      <c r="L99" s="13" t="s">
        <v>118</v>
      </c>
      <c r="M99" s="13" t="s">
        <v>111</v>
      </c>
    </row>
    <row r="100" spans="1:13" x14ac:dyDescent="0.3">
      <c r="A100" s="14" t="s">
        <v>119</v>
      </c>
      <c r="B100" s="14" t="s">
        <v>119</v>
      </c>
      <c r="C100" s="12" t="s">
        <v>120</v>
      </c>
      <c r="D100" s="12" t="s">
        <v>120</v>
      </c>
      <c r="E100" s="14" t="s">
        <v>121</v>
      </c>
      <c r="F100" s="14" t="s">
        <v>121</v>
      </c>
      <c r="G100" s="14" t="s">
        <v>121</v>
      </c>
      <c r="H100" s="14" t="s">
        <v>121</v>
      </c>
      <c r="I100" s="7">
        <v>13.2</v>
      </c>
      <c r="J100" s="6">
        <v>1068837.5</v>
      </c>
      <c r="K100" s="6">
        <v>1325</v>
      </c>
      <c r="L100" s="15">
        <v>806.67</v>
      </c>
      <c r="M100" s="15">
        <v>806.67</v>
      </c>
    </row>
    <row r="101" spans="1:13" x14ac:dyDescent="0.3">
      <c r="A101" s="14" t="s">
        <v>122</v>
      </c>
      <c r="B101" s="14" t="s">
        <v>122</v>
      </c>
      <c r="C101" s="12" t="s">
        <v>123</v>
      </c>
      <c r="D101" s="12" t="s">
        <v>123</v>
      </c>
      <c r="E101" s="14" t="s">
        <v>124</v>
      </c>
      <c r="F101" s="14" t="s">
        <v>124</v>
      </c>
      <c r="G101" s="14" t="s">
        <v>125</v>
      </c>
      <c r="H101" s="14" t="s">
        <v>125</v>
      </c>
      <c r="I101" s="7">
        <v>13.2</v>
      </c>
      <c r="J101" s="6">
        <v>1066614.8</v>
      </c>
      <c r="K101" s="6">
        <v>143</v>
      </c>
      <c r="L101" s="15">
        <v>7458.84</v>
      </c>
      <c r="M101" s="15">
        <v>7458.84</v>
      </c>
    </row>
    <row r="102" spans="1:13" x14ac:dyDescent="0.3">
      <c r="A102" s="14" t="s">
        <v>126</v>
      </c>
      <c r="B102" s="14" t="s">
        <v>126</v>
      </c>
      <c r="C102" s="12" t="s">
        <v>120</v>
      </c>
      <c r="D102" s="12" t="s">
        <v>120</v>
      </c>
      <c r="E102" s="14" t="s">
        <v>127</v>
      </c>
      <c r="F102" s="14" t="s">
        <v>127</v>
      </c>
      <c r="G102" s="14" t="s">
        <v>127</v>
      </c>
      <c r="H102" s="14" t="s">
        <v>127</v>
      </c>
      <c r="I102" s="7">
        <v>4.3</v>
      </c>
      <c r="J102" s="6">
        <v>350855.1</v>
      </c>
      <c r="K102" s="6">
        <v>4672143</v>
      </c>
      <c r="L102" s="15">
        <v>0.08</v>
      </c>
      <c r="M102" s="15">
        <v>0.08</v>
      </c>
    </row>
    <row r="103" spans="1:13" x14ac:dyDescent="0.3">
      <c r="A103" s="14" t="s">
        <v>128</v>
      </c>
      <c r="B103" s="14" t="s">
        <v>128</v>
      </c>
      <c r="C103" s="12" t="s">
        <v>120</v>
      </c>
      <c r="D103" s="12" t="s">
        <v>120</v>
      </c>
      <c r="E103" s="14" t="s">
        <v>129</v>
      </c>
      <c r="F103" s="14" t="s">
        <v>129</v>
      </c>
      <c r="G103" s="14" t="s">
        <v>129</v>
      </c>
      <c r="H103" s="14" t="s">
        <v>129</v>
      </c>
      <c r="I103" s="7">
        <v>3.9</v>
      </c>
      <c r="J103" s="6">
        <v>311772.09999999998</v>
      </c>
      <c r="K103" s="6">
        <v>565435</v>
      </c>
      <c r="L103" s="15">
        <v>0.55000000000000004</v>
      </c>
      <c r="M103" s="15">
        <v>0.55000000000000004</v>
      </c>
    </row>
    <row r="104" spans="1:13" x14ac:dyDescent="0.3">
      <c r="A104" s="14" t="s">
        <v>130</v>
      </c>
      <c r="B104" s="14" t="s">
        <v>130</v>
      </c>
      <c r="C104" s="12" t="s">
        <v>120</v>
      </c>
      <c r="D104" s="12" t="s">
        <v>120</v>
      </c>
      <c r="E104" s="14" t="s">
        <v>121</v>
      </c>
      <c r="F104" s="14" t="s">
        <v>121</v>
      </c>
      <c r="G104" s="14" t="s">
        <v>121</v>
      </c>
      <c r="H104" s="14" t="s">
        <v>121</v>
      </c>
      <c r="I104" s="7">
        <v>3.1</v>
      </c>
      <c r="J104" s="6">
        <v>252498.7</v>
      </c>
      <c r="K104" s="6">
        <v>244226</v>
      </c>
      <c r="L104" s="15">
        <v>1.03</v>
      </c>
      <c r="M104" s="15">
        <v>1.03</v>
      </c>
    </row>
    <row r="105" spans="1:13" x14ac:dyDescent="0.3">
      <c r="A105" s="14" t="s">
        <v>131</v>
      </c>
      <c r="B105" s="14" t="s">
        <v>131</v>
      </c>
      <c r="C105" s="12" t="s">
        <v>132</v>
      </c>
      <c r="D105" s="12" t="s">
        <v>132</v>
      </c>
      <c r="E105" s="14" t="s">
        <v>121</v>
      </c>
      <c r="F105" s="14" t="s">
        <v>121</v>
      </c>
      <c r="G105" s="14" t="s">
        <v>121</v>
      </c>
      <c r="H105" s="14" t="s">
        <v>121</v>
      </c>
      <c r="I105" s="7">
        <v>2.2000000000000002</v>
      </c>
      <c r="J105" s="6">
        <v>176959.12</v>
      </c>
      <c r="K105" s="6">
        <v>163644</v>
      </c>
      <c r="L105" s="15">
        <v>1.08</v>
      </c>
      <c r="M105" s="15">
        <v>1.08</v>
      </c>
    </row>
    <row r="106" spans="1:13" x14ac:dyDescent="0.3">
      <c r="A106" s="14" t="s">
        <v>133</v>
      </c>
      <c r="B106" s="14" t="s">
        <v>133</v>
      </c>
      <c r="C106" s="12" t="s">
        <v>120</v>
      </c>
      <c r="D106" s="12" t="s">
        <v>120</v>
      </c>
      <c r="E106" s="14" t="s">
        <v>134</v>
      </c>
      <c r="F106" s="14" t="s">
        <v>134</v>
      </c>
      <c r="G106" s="14" t="s">
        <v>134</v>
      </c>
      <c r="H106" s="14" t="s">
        <v>134</v>
      </c>
      <c r="I106" s="7">
        <v>2</v>
      </c>
      <c r="J106" s="6">
        <v>160817.54999999999</v>
      </c>
      <c r="K106" s="6">
        <v>167599</v>
      </c>
      <c r="L106" s="15">
        <v>0.96</v>
      </c>
      <c r="M106" s="15">
        <v>0.96</v>
      </c>
    </row>
    <row r="107" spans="1:13" x14ac:dyDescent="0.3">
      <c r="A107" s="14" t="s">
        <v>135</v>
      </c>
      <c r="B107" s="14" t="s">
        <v>135</v>
      </c>
      <c r="C107" s="12" t="s">
        <v>120</v>
      </c>
      <c r="D107" s="12" t="s">
        <v>120</v>
      </c>
      <c r="E107" s="14" t="s">
        <v>127</v>
      </c>
      <c r="F107" s="14" t="s">
        <v>127</v>
      </c>
      <c r="G107" s="14" t="s">
        <v>127</v>
      </c>
      <c r="H107" s="14" t="s">
        <v>127</v>
      </c>
      <c r="I107" s="7">
        <v>1.6</v>
      </c>
      <c r="J107" s="6">
        <v>125954.18</v>
      </c>
      <c r="K107" s="6">
        <v>308077</v>
      </c>
      <c r="L107" s="15">
        <v>0.41</v>
      </c>
      <c r="M107" s="15">
        <v>0.41</v>
      </c>
    </row>
    <row r="108" spans="1:13" x14ac:dyDescent="0.3">
      <c r="A108" s="14" t="s">
        <v>136</v>
      </c>
      <c r="B108" s="14" t="s">
        <v>136</v>
      </c>
      <c r="C108" s="12" t="s">
        <v>120</v>
      </c>
      <c r="D108" s="12" t="s">
        <v>120</v>
      </c>
      <c r="E108" s="14" t="s">
        <v>137</v>
      </c>
      <c r="F108" s="14" t="s">
        <v>137</v>
      </c>
      <c r="G108" s="14" t="s">
        <v>137</v>
      </c>
      <c r="H108" s="14" t="s">
        <v>137</v>
      </c>
      <c r="I108" s="7">
        <v>1.3</v>
      </c>
      <c r="J108" s="6">
        <v>101248.87</v>
      </c>
      <c r="K108" s="6">
        <v>8</v>
      </c>
      <c r="L108" s="15">
        <v>12656.11</v>
      </c>
      <c r="M108" s="15">
        <v>12656.11</v>
      </c>
    </row>
    <row r="109" spans="1:13" x14ac:dyDescent="0.3">
      <c r="A109" s="14" t="s">
        <v>138</v>
      </c>
      <c r="B109" s="14" t="s">
        <v>138</v>
      </c>
      <c r="C109" s="12" t="s">
        <v>120</v>
      </c>
      <c r="D109" s="12" t="s">
        <v>120</v>
      </c>
      <c r="E109" s="14" t="s">
        <v>134</v>
      </c>
      <c r="F109" s="14" t="s">
        <v>134</v>
      </c>
      <c r="G109" s="14" t="s">
        <v>134</v>
      </c>
      <c r="H109" s="14" t="s">
        <v>134</v>
      </c>
      <c r="I109" s="7">
        <v>1.2</v>
      </c>
      <c r="J109" s="6">
        <v>93293.49</v>
      </c>
      <c r="K109" s="6">
        <v>171960</v>
      </c>
      <c r="L109" s="15">
        <v>0.54</v>
      </c>
      <c r="M109" s="15">
        <v>0.54</v>
      </c>
    </row>
    <row r="110" spans="1:13" x14ac:dyDescent="0.3">
      <c r="A110" s="14" t="s">
        <v>139</v>
      </c>
      <c r="B110" s="14" t="s">
        <v>139</v>
      </c>
      <c r="C110" s="12" t="s">
        <v>132</v>
      </c>
      <c r="D110" s="12" t="s">
        <v>132</v>
      </c>
      <c r="E110" s="14" t="s">
        <v>121</v>
      </c>
      <c r="F110" s="14" t="s">
        <v>121</v>
      </c>
      <c r="G110" s="14" t="s">
        <v>121</v>
      </c>
      <c r="H110" s="14" t="s">
        <v>121</v>
      </c>
      <c r="I110" s="7">
        <v>1.2</v>
      </c>
      <c r="J110" s="6">
        <v>93076.92</v>
      </c>
      <c r="K110" s="6">
        <v>4191622</v>
      </c>
      <c r="L110" s="15">
        <v>0.02</v>
      </c>
      <c r="M110" s="15">
        <v>0.02</v>
      </c>
    </row>
    <row r="111" spans="1:13" x14ac:dyDescent="0.3">
      <c r="A111" s="14" t="s">
        <v>122</v>
      </c>
      <c r="B111" s="14" t="s">
        <v>122</v>
      </c>
      <c r="C111" s="12" t="s">
        <v>123</v>
      </c>
      <c r="D111" s="12" t="s">
        <v>123</v>
      </c>
      <c r="E111" s="14" t="s">
        <v>124</v>
      </c>
      <c r="F111" s="14" t="s">
        <v>124</v>
      </c>
      <c r="G111" s="14" t="s">
        <v>140</v>
      </c>
      <c r="H111" s="14" t="s">
        <v>140</v>
      </c>
      <c r="I111" s="7">
        <v>1</v>
      </c>
      <c r="J111" s="6">
        <v>84621.3</v>
      </c>
      <c r="K111" s="6">
        <v>191</v>
      </c>
      <c r="L111" s="15">
        <v>443.04</v>
      </c>
      <c r="M111" s="15">
        <v>443.04</v>
      </c>
    </row>
    <row r="112" spans="1:13" x14ac:dyDescent="0.3">
      <c r="A112" s="14" t="s">
        <v>141</v>
      </c>
      <c r="B112" s="14" t="s">
        <v>141</v>
      </c>
      <c r="C112" s="12" t="s">
        <v>120</v>
      </c>
      <c r="D112" s="12" t="s">
        <v>120</v>
      </c>
      <c r="E112" s="14" t="s">
        <v>121</v>
      </c>
      <c r="F112" s="14" t="s">
        <v>121</v>
      </c>
      <c r="G112" s="14" t="s">
        <v>121</v>
      </c>
      <c r="H112" s="14" t="s">
        <v>121</v>
      </c>
      <c r="I112" s="7">
        <v>0.9</v>
      </c>
      <c r="J112" s="6">
        <v>74654.899999999994</v>
      </c>
      <c r="K112" s="6">
        <v>108775</v>
      </c>
      <c r="L112" s="15">
        <v>0.69</v>
      </c>
      <c r="M112" s="15">
        <v>0.69</v>
      </c>
    </row>
    <row r="113" spans="1:13" x14ac:dyDescent="0.3">
      <c r="A113" s="14" t="s">
        <v>142</v>
      </c>
      <c r="B113" s="14" t="s">
        <v>142</v>
      </c>
      <c r="C113" s="12" t="s">
        <v>120</v>
      </c>
      <c r="D113" s="12" t="s">
        <v>120</v>
      </c>
      <c r="E113" s="14" t="s">
        <v>134</v>
      </c>
      <c r="F113" s="14" t="s">
        <v>134</v>
      </c>
      <c r="G113" s="14" t="s">
        <v>134</v>
      </c>
      <c r="H113" s="14" t="s">
        <v>134</v>
      </c>
      <c r="I113" s="7">
        <v>0.8</v>
      </c>
      <c r="J113" s="6">
        <v>67302.63</v>
      </c>
      <c r="K113" s="6">
        <v>164052</v>
      </c>
      <c r="L113" s="15">
        <v>0.41</v>
      </c>
      <c r="M113" s="15">
        <v>0.41</v>
      </c>
    </row>
    <row r="114" spans="1:13" x14ac:dyDescent="0.3">
      <c r="A114" s="14" t="s">
        <v>143</v>
      </c>
      <c r="B114" s="14" t="s">
        <v>143</v>
      </c>
      <c r="C114" s="12" t="s">
        <v>120</v>
      </c>
      <c r="D114" s="12" t="s">
        <v>120</v>
      </c>
      <c r="E114" s="14" t="s">
        <v>129</v>
      </c>
      <c r="F114" s="14" t="s">
        <v>129</v>
      </c>
      <c r="G114" s="14" t="s">
        <v>129</v>
      </c>
      <c r="H114" s="14" t="s">
        <v>129</v>
      </c>
      <c r="I114" s="7">
        <v>0.8</v>
      </c>
      <c r="J114" s="6">
        <v>66567.820000000007</v>
      </c>
      <c r="K114" s="6">
        <v>22676</v>
      </c>
      <c r="L114" s="15">
        <v>2.94</v>
      </c>
      <c r="M114" s="15">
        <v>2.94</v>
      </c>
    </row>
    <row r="115" spans="1:13" x14ac:dyDescent="0.3">
      <c r="A115" s="14" t="s">
        <v>144</v>
      </c>
      <c r="B115" s="14" t="s">
        <v>144</v>
      </c>
      <c r="C115" s="12" t="s">
        <v>120</v>
      </c>
      <c r="D115" s="12" t="s">
        <v>120</v>
      </c>
      <c r="E115" s="14" t="s">
        <v>145</v>
      </c>
      <c r="F115" s="14" t="s">
        <v>145</v>
      </c>
      <c r="G115" s="14" t="s">
        <v>145</v>
      </c>
      <c r="H115" s="14" t="s">
        <v>145</v>
      </c>
      <c r="I115" s="7">
        <v>0.8</v>
      </c>
      <c r="J115" s="6">
        <v>61746.79</v>
      </c>
      <c r="K115" s="6">
        <v>781365</v>
      </c>
      <c r="L115" s="15">
        <v>0.08</v>
      </c>
      <c r="M115" s="15">
        <v>0.08</v>
      </c>
    </row>
    <row r="116" spans="1:13" x14ac:dyDescent="0.3">
      <c r="A116" s="14" t="s">
        <v>146</v>
      </c>
      <c r="B116" s="14" t="s">
        <v>146</v>
      </c>
      <c r="C116" s="12" t="s">
        <v>120</v>
      </c>
      <c r="D116" s="12" t="s">
        <v>120</v>
      </c>
      <c r="E116" s="14" t="s">
        <v>129</v>
      </c>
      <c r="F116" s="14" t="s">
        <v>129</v>
      </c>
      <c r="G116" s="14" t="s">
        <v>129</v>
      </c>
      <c r="H116" s="14" t="s">
        <v>129</v>
      </c>
      <c r="I116" s="7">
        <v>0.7</v>
      </c>
      <c r="J116" s="6">
        <v>58638.43</v>
      </c>
      <c r="K116" s="6">
        <v>565157</v>
      </c>
      <c r="L116" s="15">
        <v>0.1</v>
      </c>
      <c r="M116" s="15">
        <v>0.1</v>
      </c>
    </row>
    <row r="117" spans="1:13" x14ac:dyDescent="0.3">
      <c r="A117" s="14" t="s">
        <v>147</v>
      </c>
      <c r="B117" s="14" t="s">
        <v>147</v>
      </c>
      <c r="C117" s="12" t="s">
        <v>148</v>
      </c>
      <c r="D117" s="12" t="s">
        <v>148</v>
      </c>
      <c r="E117" s="14" t="s">
        <v>121</v>
      </c>
      <c r="F117" s="14" t="s">
        <v>121</v>
      </c>
      <c r="G117" s="14" t="s">
        <v>121</v>
      </c>
      <c r="H117" s="14" t="s">
        <v>121</v>
      </c>
      <c r="I117" s="7">
        <v>0.7</v>
      </c>
      <c r="J117" s="6">
        <v>56014.26</v>
      </c>
      <c r="K117" s="6">
        <v>816541</v>
      </c>
      <c r="L117" s="15">
        <v>7.0000000000000007E-2</v>
      </c>
      <c r="M117" s="15">
        <v>7.0000000000000007E-2</v>
      </c>
    </row>
    <row r="118" spans="1:13" x14ac:dyDescent="0.3">
      <c r="A118" s="14" t="s">
        <v>149</v>
      </c>
      <c r="B118" s="14" t="s">
        <v>149</v>
      </c>
      <c r="C118" s="12" t="s">
        <v>123</v>
      </c>
      <c r="D118" s="12" t="s">
        <v>123</v>
      </c>
      <c r="E118" s="14" t="s">
        <v>150</v>
      </c>
      <c r="F118" s="14" t="s">
        <v>150</v>
      </c>
      <c r="G118" s="14" t="s">
        <v>111</v>
      </c>
      <c r="H118" s="14" t="s">
        <v>111</v>
      </c>
      <c r="I118" s="7">
        <v>0.7</v>
      </c>
      <c r="J118" s="6">
        <v>53160.44</v>
      </c>
      <c r="K118" s="6">
        <v>146</v>
      </c>
      <c r="L118" s="15">
        <v>364.11</v>
      </c>
      <c r="M118" s="15">
        <v>364.11</v>
      </c>
    </row>
    <row r="119" spans="1:13" x14ac:dyDescent="0.3">
      <c r="A119" s="14" t="s">
        <v>149</v>
      </c>
      <c r="B119" s="14" t="s">
        <v>149</v>
      </c>
      <c r="C119" s="12" t="s">
        <v>123</v>
      </c>
      <c r="D119" s="12" t="s">
        <v>123</v>
      </c>
      <c r="E119" s="14" t="s">
        <v>151</v>
      </c>
      <c r="F119" s="14" t="s">
        <v>151</v>
      </c>
      <c r="G119" s="14" t="s">
        <v>111</v>
      </c>
      <c r="H119" s="14" t="s">
        <v>111</v>
      </c>
      <c r="I119" s="7">
        <v>0.7</v>
      </c>
      <c r="J119" s="6">
        <v>52800.65</v>
      </c>
      <c r="K119" s="6">
        <v>158</v>
      </c>
      <c r="L119" s="15">
        <v>334.18</v>
      </c>
      <c r="M119" s="15">
        <v>334.18</v>
      </c>
    </row>
    <row r="120" spans="1:13" x14ac:dyDescent="0.3">
      <c r="A120" s="14" t="s">
        <v>152</v>
      </c>
      <c r="B120" s="14" t="s">
        <v>152</v>
      </c>
      <c r="C120" s="12" t="s">
        <v>120</v>
      </c>
      <c r="D120" s="12" t="s">
        <v>120</v>
      </c>
      <c r="E120" s="14" t="s">
        <v>134</v>
      </c>
      <c r="F120" s="14" t="s">
        <v>134</v>
      </c>
      <c r="G120" s="14" t="s">
        <v>134</v>
      </c>
      <c r="H120" s="14" t="s">
        <v>134</v>
      </c>
      <c r="I120" s="7">
        <v>0.6</v>
      </c>
      <c r="J120" s="6">
        <v>50800.46</v>
      </c>
      <c r="K120" s="6">
        <v>49</v>
      </c>
      <c r="L120" s="15">
        <v>1036.74</v>
      </c>
      <c r="M120" s="15">
        <v>1036.74</v>
      </c>
    </row>
    <row r="121" spans="1:13" x14ac:dyDescent="0.3">
      <c r="A121" s="14" t="s">
        <v>153</v>
      </c>
      <c r="B121" s="14" t="s">
        <v>153</v>
      </c>
      <c r="C121" s="12" t="s">
        <v>148</v>
      </c>
      <c r="D121" s="12" t="s">
        <v>148</v>
      </c>
      <c r="E121" s="14" t="s">
        <v>121</v>
      </c>
      <c r="F121" s="14" t="s">
        <v>121</v>
      </c>
      <c r="G121" s="14" t="s">
        <v>121</v>
      </c>
      <c r="H121" s="14" t="s">
        <v>121</v>
      </c>
      <c r="I121" s="7">
        <v>0.6</v>
      </c>
      <c r="J121" s="6">
        <v>47416.25</v>
      </c>
      <c r="K121" s="6">
        <v>739899</v>
      </c>
      <c r="L121" s="15">
        <v>0.06</v>
      </c>
      <c r="M121" s="15">
        <v>0.06</v>
      </c>
    </row>
    <row r="122" spans="1:13" x14ac:dyDescent="0.3">
      <c r="A122" s="14" t="s">
        <v>154</v>
      </c>
      <c r="B122" s="14" t="s">
        <v>154</v>
      </c>
      <c r="C122" s="12" t="s">
        <v>120</v>
      </c>
      <c r="D122" s="12" t="s">
        <v>120</v>
      </c>
      <c r="E122" s="14" t="s">
        <v>155</v>
      </c>
      <c r="F122" s="14" t="s">
        <v>155</v>
      </c>
      <c r="G122" s="14" t="s">
        <v>155</v>
      </c>
      <c r="H122" s="14" t="s">
        <v>155</v>
      </c>
      <c r="I122" s="7">
        <v>0.6</v>
      </c>
      <c r="J122" s="6">
        <v>47222.79</v>
      </c>
      <c r="K122" s="6">
        <v>4698</v>
      </c>
      <c r="L122" s="15">
        <v>10.050000000000001</v>
      </c>
      <c r="M122" s="15">
        <v>10.050000000000001</v>
      </c>
    </row>
    <row r="123" spans="1:13" x14ac:dyDescent="0.3">
      <c r="A123" s="14" t="s">
        <v>156</v>
      </c>
      <c r="B123" s="14" t="s">
        <v>156</v>
      </c>
      <c r="C123" s="12" t="s">
        <v>120</v>
      </c>
      <c r="D123" s="12" t="s">
        <v>120</v>
      </c>
      <c r="E123" s="14" t="s">
        <v>121</v>
      </c>
      <c r="F123" s="14" t="s">
        <v>121</v>
      </c>
      <c r="G123" s="14" t="s">
        <v>121</v>
      </c>
      <c r="H123" s="14" t="s">
        <v>121</v>
      </c>
      <c r="I123" s="7">
        <v>0.6</v>
      </c>
      <c r="J123" s="6">
        <v>45636.959999999999</v>
      </c>
      <c r="K123" s="6">
        <v>137059</v>
      </c>
      <c r="L123" s="15">
        <v>0.33</v>
      </c>
      <c r="M123" s="15">
        <v>0.33</v>
      </c>
    </row>
    <row r="124" spans="1:13" x14ac:dyDescent="0.3">
      <c r="A124" s="14" t="s">
        <v>157</v>
      </c>
      <c r="B124" s="14" t="s">
        <v>157</v>
      </c>
      <c r="C124" s="12" t="s">
        <v>120</v>
      </c>
      <c r="D124" s="12" t="s">
        <v>120</v>
      </c>
      <c r="E124" s="14" t="s">
        <v>155</v>
      </c>
      <c r="F124" s="14" t="s">
        <v>155</v>
      </c>
      <c r="G124" s="14" t="s">
        <v>155</v>
      </c>
      <c r="H124" s="14" t="s">
        <v>155</v>
      </c>
      <c r="I124" s="7">
        <v>0.6</v>
      </c>
      <c r="J124" s="6">
        <v>45412.01</v>
      </c>
      <c r="K124" s="6">
        <v>7041</v>
      </c>
      <c r="L124" s="15">
        <v>6.45</v>
      </c>
      <c r="M124" s="15">
        <v>6.45</v>
      </c>
    </row>
    <row r="125" spans="1:13" x14ac:dyDescent="0.3">
      <c r="A125" s="14" t="s">
        <v>158</v>
      </c>
      <c r="B125" s="14" t="s">
        <v>158</v>
      </c>
      <c r="C125" s="12" t="s">
        <v>120</v>
      </c>
      <c r="D125" s="12" t="s">
        <v>120</v>
      </c>
      <c r="E125" s="14" t="s">
        <v>127</v>
      </c>
      <c r="F125" s="14" t="s">
        <v>127</v>
      </c>
      <c r="G125" s="14" t="s">
        <v>127</v>
      </c>
      <c r="H125" s="14" t="s">
        <v>127</v>
      </c>
      <c r="I125" s="7">
        <v>0.5</v>
      </c>
      <c r="J125" s="6">
        <v>44097.78</v>
      </c>
      <c r="K125" s="6">
        <v>377104</v>
      </c>
      <c r="L125" s="15">
        <v>0.12</v>
      </c>
      <c r="M125" s="15">
        <v>0.12</v>
      </c>
    </row>
    <row r="126" spans="1:13" x14ac:dyDescent="0.3">
      <c r="A126" s="14" t="s">
        <v>159</v>
      </c>
      <c r="B126" s="14" t="s">
        <v>159</v>
      </c>
      <c r="C126" s="12" t="s">
        <v>148</v>
      </c>
      <c r="D126" s="12" t="s">
        <v>148</v>
      </c>
      <c r="E126" s="14" t="s">
        <v>121</v>
      </c>
      <c r="F126" s="14" t="s">
        <v>121</v>
      </c>
      <c r="G126" s="14" t="s">
        <v>121</v>
      </c>
      <c r="H126" s="14" t="s">
        <v>121</v>
      </c>
      <c r="I126" s="7">
        <v>0.5</v>
      </c>
      <c r="J126" s="6">
        <v>43510.58</v>
      </c>
      <c r="K126" s="6">
        <v>148234</v>
      </c>
      <c r="L126" s="15">
        <v>0.28999999999999998</v>
      </c>
      <c r="M126" s="15">
        <v>0.28999999999999998</v>
      </c>
    </row>
    <row r="127" spans="1:13" x14ac:dyDescent="0.3">
      <c r="A127" s="14" t="s">
        <v>160</v>
      </c>
      <c r="B127" s="14" t="s">
        <v>160</v>
      </c>
      <c r="C127" s="12" t="s">
        <v>161</v>
      </c>
      <c r="D127" s="12" t="s">
        <v>161</v>
      </c>
      <c r="E127" s="14" t="s">
        <v>162</v>
      </c>
      <c r="F127" s="14" t="s">
        <v>162</v>
      </c>
      <c r="G127" s="14" t="s">
        <v>163</v>
      </c>
      <c r="H127" s="14" t="s">
        <v>163</v>
      </c>
      <c r="I127" s="7">
        <v>0.5</v>
      </c>
      <c r="J127" s="6">
        <v>43287.68</v>
      </c>
      <c r="K127" s="6">
        <v>309673</v>
      </c>
      <c r="L127" s="15">
        <v>0.14000000000000001</v>
      </c>
      <c r="M127" s="15">
        <v>0.14000000000000001</v>
      </c>
    </row>
    <row r="128" spans="1:13" x14ac:dyDescent="0.3">
      <c r="A128" s="14" t="s">
        <v>164</v>
      </c>
      <c r="B128" s="14" t="s">
        <v>164</v>
      </c>
      <c r="C128" s="12" t="s">
        <v>165</v>
      </c>
      <c r="D128" s="12" t="s">
        <v>165</v>
      </c>
      <c r="E128" s="14" t="s">
        <v>121</v>
      </c>
      <c r="F128" s="14" t="s">
        <v>121</v>
      </c>
      <c r="G128" s="14" t="s">
        <v>121</v>
      </c>
      <c r="H128" s="14" t="s">
        <v>121</v>
      </c>
      <c r="I128" s="7">
        <v>0.5</v>
      </c>
      <c r="J128" s="6">
        <v>42375.3</v>
      </c>
      <c r="K128" s="6">
        <v>20259</v>
      </c>
      <c r="L128" s="15">
        <v>2.09</v>
      </c>
      <c r="M128" s="15">
        <v>2.09</v>
      </c>
    </row>
    <row r="129" spans="1:13" x14ac:dyDescent="0.3">
      <c r="A129" s="14" t="s">
        <v>166</v>
      </c>
      <c r="B129" s="14" t="s">
        <v>166</v>
      </c>
      <c r="C129" s="12" t="s">
        <v>120</v>
      </c>
      <c r="D129" s="12" t="s">
        <v>120</v>
      </c>
      <c r="E129" s="14" t="s">
        <v>134</v>
      </c>
      <c r="F129" s="14" t="s">
        <v>134</v>
      </c>
      <c r="G129" s="14" t="s">
        <v>134</v>
      </c>
      <c r="H129" s="14" t="s">
        <v>134</v>
      </c>
      <c r="I129" s="7">
        <v>0.5</v>
      </c>
      <c r="J129" s="6">
        <v>42247.05</v>
      </c>
      <c r="K129" s="6">
        <v>176086</v>
      </c>
      <c r="L129" s="15">
        <v>0.24</v>
      </c>
      <c r="M129" s="15">
        <v>0.24</v>
      </c>
    </row>
    <row r="131" spans="1:13" ht="17.25" x14ac:dyDescent="0.3">
      <c r="A131" s="2" t="s">
        <v>167</v>
      </c>
    </row>
    <row r="132" spans="1:13" x14ac:dyDescent="0.3">
      <c r="A132" s="3" t="s">
        <v>168</v>
      </c>
    </row>
    <row r="133" spans="1:13" ht="50.1" customHeight="1" x14ac:dyDescent="0.3">
      <c r="A133" s="13" t="s">
        <v>110</v>
      </c>
      <c r="B133" s="13" t="s">
        <v>111</v>
      </c>
      <c r="C133" s="13" t="s">
        <v>112</v>
      </c>
      <c r="D133" s="13" t="s">
        <v>111</v>
      </c>
      <c r="E133" s="13" t="s">
        <v>113</v>
      </c>
      <c r="F133" s="13" t="s">
        <v>111</v>
      </c>
      <c r="G133" s="13" t="s">
        <v>114</v>
      </c>
      <c r="H133" s="13" t="s">
        <v>111</v>
      </c>
      <c r="I133" s="4" t="s">
        <v>169</v>
      </c>
      <c r="J133" s="4" t="s">
        <v>170</v>
      </c>
      <c r="K133" s="4" t="s">
        <v>117</v>
      </c>
      <c r="L133" s="13" t="s">
        <v>171</v>
      </c>
      <c r="M133" s="13" t="s">
        <v>111</v>
      </c>
    </row>
    <row r="134" spans="1:13" x14ac:dyDescent="0.3">
      <c r="A134" s="14" t="s">
        <v>119</v>
      </c>
      <c r="B134" s="14" t="s">
        <v>119</v>
      </c>
      <c r="C134" s="12" t="s">
        <v>120</v>
      </c>
      <c r="D134" s="12" t="s">
        <v>120</v>
      </c>
      <c r="E134" s="14" t="s">
        <v>121</v>
      </c>
      <c r="F134" s="14" t="s">
        <v>121</v>
      </c>
      <c r="G134" s="14" t="s">
        <v>121</v>
      </c>
      <c r="H134" s="14" t="s">
        <v>121</v>
      </c>
      <c r="I134" s="7">
        <v>17</v>
      </c>
      <c r="J134" s="6">
        <v>1021468.75</v>
      </c>
      <c r="K134" s="6">
        <v>1325</v>
      </c>
      <c r="L134" s="15">
        <v>770.92</v>
      </c>
      <c r="M134" s="15">
        <v>770.92</v>
      </c>
    </row>
    <row r="135" spans="1:13" x14ac:dyDescent="0.3">
      <c r="A135" s="14" t="s">
        <v>126</v>
      </c>
      <c r="B135" s="14" t="s">
        <v>126</v>
      </c>
      <c r="C135" s="12" t="s">
        <v>120</v>
      </c>
      <c r="D135" s="12" t="s">
        <v>120</v>
      </c>
      <c r="E135" s="14" t="s">
        <v>127</v>
      </c>
      <c r="F135" s="14" t="s">
        <v>127</v>
      </c>
      <c r="G135" s="14" t="s">
        <v>127</v>
      </c>
      <c r="H135" s="14" t="s">
        <v>127</v>
      </c>
      <c r="I135" s="7">
        <v>5.8</v>
      </c>
      <c r="J135" s="6">
        <v>350849.62</v>
      </c>
      <c r="K135" s="6">
        <v>4672143</v>
      </c>
      <c r="L135" s="15">
        <v>0.08</v>
      </c>
      <c r="M135" s="15">
        <v>0.08</v>
      </c>
    </row>
    <row r="136" spans="1:13" x14ac:dyDescent="0.3">
      <c r="A136" s="14" t="s">
        <v>128</v>
      </c>
      <c r="B136" s="14" t="s">
        <v>128</v>
      </c>
      <c r="C136" s="12" t="s">
        <v>120</v>
      </c>
      <c r="D136" s="12" t="s">
        <v>120</v>
      </c>
      <c r="E136" s="14" t="s">
        <v>129</v>
      </c>
      <c r="F136" s="14" t="s">
        <v>129</v>
      </c>
      <c r="G136" s="14" t="s">
        <v>129</v>
      </c>
      <c r="H136" s="14" t="s">
        <v>129</v>
      </c>
      <c r="I136" s="7">
        <v>5.2</v>
      </c>
      <c r="J136" s="6">
        <v>311661.8</v>
      </c>
      <c r="K136" s="6">
        <v>565435</v>
      </c>
      <c r="L136" s="15">
        <v>0.55000000000000004</v>
      </c>
      <c r="M136" s="15">
        <v>0.55000000000000004</v>
      </c>
    </row>
    <row r="137" spans="1:13" x14ac:dyDescent="0.3">
      <c r="A137" s="14" t="s">
        <v>130</v>
      </c>
      <c r="B137" s="14" t="s">
        <v>130</v>
      </c>
      <c r="C137" s="12" t="s">
        <v>120</v>
      </c>
      <c r="D137" s="12" t="s">
        <v>120</v>
      </c>
      <c r="E137" s="14" t="s">
        <v>121</v>
      </c>
      <c r="F137" s="14" t="s">
        <v>121</v>
      </c>
      <c r="G137" s="14" t="s">
        <v>121</v>
      </c>
      <c r="H137" s="14" t="s">
        <v>121</v>
      </c>
      <c r="I137" s="7">
        <v>4.2</v>
      </c>
      <c r="J137" s="6">
        <v>252498.55</v>
      </c>
      <c r="K137" s="6">
        <v>244226</v>
      </c>
      <c r="L137" s="15">
        <v>1.03</v>
      </c>
      <c r="M137" s="15">
        <v>1.03</v>
      </c>
    </row>
    <row r="138" spans="1:13" x14ac:dyDescent="0.3">
      <c r="A138" s="14" t="s">
        <v>131</v>
      </c>
      <c r="B138" s="14" t="s">
        <v>131</v>
      </c>
      <c r="C138" s="12" t="s">
        <v>132</v>
      </c>
      <c r="D138" s="12" t="s">
        <v>132</v>
      </c>
      <c r="E138" s="14" t="s">
        <v>121</v>
      </c>
      <c r="F138" s="14" t="s">
        <v>121</v>
      </c>
      <c r="G138" s="14" t="s">
        <v>121</v>
      </c>
      <c r="H138" s="14" t="s">
        <v>121</v>
      </c>
      <c r="I138" s="7">
        <v>2.9</v>
      </c>
      <c r="J138" s="6">
        <v>176931.48</v>
      </c>
      <c r="K138" s="6">
        <v>163644</v>
      </c>
      <c r="L138" s="15">
        <v>1.08</v>
      </c>
      <c r="M138" s="15">
        <v>1.08</v>
      </c>
    </row>
    <row r="139" spans="1:13" x14ac:dyDescent="0.3">
      <c r="A139" s="14" t="s">
        <v>133</v>
      </c>
      <c r="B139" s="14" t="s">
        <v>133</v>
      </c>
      <c r="C139" s="12" t="s">
        <v>120</v>
      </c>
      <c r="D139" s="12" t="s">
        <v>120</v>
      </c>
      <c r="E139" s="14" t="s">
        <v>134</v>
      </c>
      <c r="F139" s="14" t="s">
        <v>134</v>
      </c>
      <c r="G139" s="14" t="s">
        <v>134</v>
      </c>
      <c r="H139" s="14" t="s">
        <v>134</v>
      </c>
      <c r="I139" s="7">
        <v>2.7</v>
      </c>
      <c r="J139" s="6">
        <v>160633.04999999999</v>
      </c>
      <c r="K139" s="6">
        <v>167599</v>
      </c>
      <c r="L139" s="15">
        <v>0.96</v>
      </c>
      <c r="M139" s="15">
        <v>0.96</v>
      </c>
    </row>
    <row r="140" spans="1:13" x14ac:dyDescent="0.3">
      <c r="A140" s="14" t="s">
        <v>135</v>
      </c>
      <c r="B140" s="14" t="s">
        <v>135</v>
      </c>
      <c r="C140" s="12" t="s">
        <v>120</v>
      </c>
      <c r="D140" s="12" t="s">
        <v>120</v>
      </c>
      <c r="E140" s="14" t="s">
        <v>127</v>
      </c>
      <c r="F140" s="14" t="s">
        <v>127</v>
      </c>
      <c r="G140" s="14" t="s">
        <v>127</v>
      </c>
      <c r="H140" s="14" t="s">
        <v>127</v>
      </c>
      <c r="I140" s="7">
        <v>2.1</v>
      </c>
      <c r="J140" s="6">
        <v>125899.65</v>
      </c>
      <c r="K140" s="6">
        <v>308077</v>
      </c>
      <c r="L140" s="15">
        <v>0.41</v>
      </c>
      <c r="M140" s="15">
        <v>0.41</v>
      </c>
    </row>
    <row r="141" spans="1:13" x14ac:dyDescent="0.3">
      <c r="A141" s="14" t="s">
        <v>138</v>
      </c>
      <c r="B141" s="14" t="s">
        <v>138</v>
      </c>
      <c r="C141" s="12" t="s">
        <v>120</v>
      </c>
      <c r="D141" s="12" t="s">
        <v>120</v>
      </c>
      <c r="E141" s="14" t="s">
        <v>134</v>
      </c>
      <c r="F141" s="14" t="s">
        <v>134</v>
      </c>
      <c r="G141" s="14" t="s">
        <v>134</v>
      </c>
      <c r="H141" s="14" t="s">
        <v>134</v>
      </c>
      <c r="I141" s="7">
        <v>1.6</v>
      </c>
      <c r="J141" s="6">
        <v>93293.02</v>
      </c>
      <c r="K141" s="6">
        <v>171960</v>
      </c>
      <c r="L141" s="15">
        <v>0.54</v>
      </c>
      <c r="M141" s="15">
        <v>0.54</v>
      </c>
    </row>
    <row r="142" spans="1:13" x14ac:dyDescent="0.3">
      <c r="A142" s="14" t="s">
        <v>139</v>
      </c>
      <c r="B142" s="14" t="s">
        <v>139</v>
      </c>
      <c r="C142" s="12" t="s">
        <v>132</v>
      </c>
      <c r="D142" s="12" t="s">
        <v>132</v>
      </c>
      <c r="E142" s="14" t="s">
        <v>121</v>
      </c>
      <c r="F142" s="14" t="s">
        <v>121</v>
      </c>
      <c r="G142" s="14" t="s">
        <v>121</v>
      </c>
      <c r="H142" s="14" t="s">
        <v>121</v>
      </c>
      <c r="I142" s="7">
        <v>1.5</v>
      </c>
      <c r="J142" s="6">
        <v>89081.48</v>
      </c>
      <c r="K142" s="6">
        <v>4191622</v>
      </c>
      <c r="L142" s="15">
        <v>0.02</v>
      </c>
      <c r="M142" s="15">
        <v>0.02</v>
      </c>
    </row>
    <row r="143" spans="1:13" x14ac:dyDescent="0.3">
      <c r="A143" s="14" t="s">
        <v>141</v>
      </c>
      <c r="B143" s="14" t="s">
        <v>141</v>
      </c>
      <c r="C143" s="12" t="s">
        <v>120</v>
      </c>
      <c r="D143" s="12" t="s">
        <v>120</v>
      </c>
      <c r="E143" s="14" t="s">
        <v>121</v>
      </c>
      <c r="F143" s="14" t="s">
        <v>121</v>
      </c>
      <c r="G143" s="14" t="s">
        <v>121</v>
      </c>
      <c r="H143" s="14" t="s">
        <v>121</v>
      </c>
      <c r="I143" s="7">
        <v>1.2</v>
      </c>
      <c r="J143" s="6">
        <v>74629.009999999995</v>
      </c>
      <c r="K143" s="6">
        <v>108775</v>
      </c>
      <c r="L143" s="15">
        <v>0.69</v>
      </c>
      <c r="M143" s="15">
        <v>0.69</v>
      </c>
    </row>
    <row r="144" spans="1:13" x14ac:dyDescent="0.3">
      <c r="A144" s="14" t="s">
        <v>122</v>
      </c>
      <c r="B144" s="14" t="s">
        <v>122</v>
      </c>
      <c r="C144" s="12" t="s">
        <v>123</v>
      </c>
      <c r="D144" s="12" t="s">
        <v>123</v>
      </c>
      <c r="E144" s="14" t="s">
        <v>124</v>
      </c>
      <c r="F144" s="14" t="s">
        <v>124</v>
      </c>
      <c r="G144" s="14" t="s">
        <v>125</v>
      </c>
      <c r="H144" s="14" t="s">
        <v>125</v>
      </c>
      <c r="I144" s="7">
        <v>1.2</v>
      </c>
      <c r="J144" s="6">
        <v>69539.710000000006</v>
      </c>
      <c r="K144" s="6">
        <v>143</v>
      </c>
      <c r="L144" s="15">
        <v>486.29</v>
      </c>
      <c r="M144" s="15">
        <v>486.29</v>
      </c>
    </row>
    <row r="145" spans="1:13" x14ac:dyDescent="0.3">
      <c r="A145" s="14" t="s">
        <v>142</v>
      </c>
      <c r="B145" s="14" t="s">
        <v>142</v>
      </c>
      <c r="C145" s="12" t="s">
        <v>120</v>
      </c>
      <c r="D145" s="12" t="s">
        <v>120</v>
      </c>
      <c r="E145" s="14" t="s">
        <v>134</v>
      </c>
      <c r="F145" s="14" t="s">
        <v>134</v>
      </c>
      <c r="G145" s="14" t="s">
        <v>134</v>
      </c>
      <c r="H145" s="14" t="s">
        <v>134</v>
      </c>
      <c r="I145" s="7">
        <v>1.1000000000000001</v>
      </c>
      <c r="J145" s="6">
        <v>67293.52</v>
      </c>
      <c r="K145" s="6">
        <v>164052</v>
      </c>
      <c r="L145" s="15">
        <v>0.41</v>
      </c>
      <c r="M145" s="15">
        <v>0.41</v>
      </c>
    </row>
    <row r="146" spans="1:13" x14ac:dyDescent="0.3">
      <c r="A146" s="14" t="s">
        <v>143</v>
      </c>
      <c r="B146" s="14" t="s">
        <v>143</v>
      </c>
      <c r="C146" s="12" t="s">
        <v>120</v>
      </c>
      <c r="D146" s="12" t="s">
        <v>120</v>
      </c>
      <c r="E146" s="14" t="s">
        <v>129</v>
      </c>
      <c r="F146" s="14" t="s">
        <v>129</v>
      </c>
      <c r="G146" s="14" t="s">
        <v>129</v>
      </c>
      <c r="H146" s="14" t="s">
        <v>129</v>
      </c>
      <c r="I146" s="7">
        <v>1.1000000000000001</v>
      </c>
      <c r="J146" s="6">
        <v>66538.179999999993</v>
      </c>
      <c r="K146" s="6">
        <v>22676</v>
      </c>
      <c r="L146" s="15">
        <v>2.93</v>
      </c>
      <c r="M146" s="15">
        <v>2.93</v>
      </c>
    </row>
    <row r="147" spans="1:13" x14ac:dyDescent="0.3">
      <c r="A147" s="14" t="s">
        <v>144</v>
      </c>
      <c r="B147" s="14" t="s">
        <v>144</v>
      </c>
      <c r="C147" s="12" t="s">
        <v>120</v>
      </c>
      <c r="D147" s="12" t="s">
        <v>120</v>
      </c>
      <c r="E147" s="14" t="s">
        <v>145</v>
      </c>
      <c r="F147" s="14" t="s">
        <v>145</v>
      </c>
      <c r="G147" s="14" t="s">
        <v>145</v>
      </c>
      <c r="H147" s="14" t="s">
        <v>145</v>
      </c>
      <c r="I147" s="7">
        <v>1</v>
      </c>
      <c r="J147" s="6">
        <v>61746.06</v>
      </c>
      <c r="K147" s="6">
        <v>781365</v>
      </c>
      <c r="L147" s="15">
        <v>0.08</v>
      </c>
      <c r="M147" s="15">
        <v>0.08</v>
      </c>
    </row>
    <row r="148" spans="1:13" x14ac:dyDescent="0.3">
      <c r="A148" s="14" t="s">
        <v>146</v>
      </c>
      <c r="B148" s="14" t="s">
        <v>146</v>
      </c>
      <c r="C148" s="12" t="s">
        <v>120</v>
      </c>
      <c r="D148" s="12" t="s">
        <v>120</v>
      </c>
      <c r="E148" s="14" t="s">
        <v>129</v>
      </c>
      <c r="F148" s="14" t="s">
        <v>129</v>
      </c>
      <c r="G148" s="14" t="s">
        <v>129</v>
      </c>
      <c r="H148" s="14" t="s">
        <v>129</v>
      </c>
      <c r="I148" s="7">
        <v>1</v>
      </c>
      <c r="J148" s="6">
        <v>58617.19</v>
      </c>
      <c r="K148" s="6">
        <v>565157</v>
      </c>
      <c r="L148" s="15">
        <v>0.1</v>
      </c>
      <c r="M148" s="15">
        <v>0.1</v>
      </c>
    </row>
    <row r="149" spans="1:13" x14ac:dyDescent="0.3">
      <c r="A149" s="14" t="s">
        <v>147</v>
      </c>
      <c r="B149" s="14" t="s">
        <v>147</v>
      </c>
      <c r="C149" s="12" t="s">
        <v>148</v>
      </c>
      <c r="D149" s="12" t="s">
        <v>148</v>
      </c>
      <c r="E149" s="14" t="s">
        <v>121</v>
      </c>
      <c r="F149" s="14" t="s">
        <v>121</v>
      </c>
      <c r="G149" s="14" t="s">
        <v>121</v>
      </c>
      <c r="H149" s="14" t="s">
        <v>121</v>
      </c>
      <c r="I149" s="7">
        <v>0.9</v>
      </c>
      <c r="J149" s="6">
        <v>56014.03</v>
      </c>
      <c r="K149" s="6">
        <v>816541</v>
      </c>
      <c r="L149" s="15">
        <v>7.0000000000000007E-2</v>
      </c>
      <c r="M149" s="15">
        <v>7.0000000000000007E-2</v>
      </c>
    </row>
    <row r="150" spans="1:13" x14ac:dyDescent="0.3">
      <c r="A150" s="14" t="s">
        <v>152</v>
      </c>
      <c r="B150" s="14" t="s">
        <v>152</v>
      </c>
      <c r="C150" s="12" t="s">
        <v>120</v>
      </c>
      <c r="D150" s="12" t="s">
        <v>120</v>
      </c>
      <c r="E150" s="14" t="s">
        <v>134</v>
      </c>
      <c r="F150" s="14" t="s">
        <v>134</v>
      </c>
      <c r="G150" s="14" t="s">
        <v>134</v>
      </c>
      <c r="H150" s="14" t="s">
        <v>134</v>
      </c>
      <c r="I150" s="7">
        <v>0.8</v>
      </c>
      <c r="J150" s="6">
        <v>50649.63</v>
      </c>
      <c r="K150" s="6">
        <v>49</v>
      </c>
      <c r="L150" s="15">
        <v>1033.67</v>
      </c>
      <c r="M150" s="15">
        <v>1033.67</v>
      </c>
    </row>
    <row r="151" spans="1:13" x14ac:dyDescent="0.3">
      <c r="A151" s="14" t="s">
        <v>153</v>
      </c>
      <c r="B151" s="14" t="s">
        <v>153</v>
      </c>
      <c r="C151" s="12" t="s">
        <v>148</v>
      </c>
      <c r="D151" s="12" t="s">
        <v>148</v>
      </c>
      <c r="E151" s="14" t="s">
        <v>121</v>
      </c>
      <c r="F151" s="14" t="s">
        <v>121</v>
      </c>
      <c r="G151" s="14" t="s">
        <v>121</v>
      </c>
      <c r="H151" s="14" t="s">
        <v>121</v>
      </c>
      <c r="I151" s="7">
        <v>0.8</v>
      </c>
      <c r="J151" s="6">
        <v>47415.03</v>
      </c>
      <c r="K151" s="6">
        <v>739899</v>
      </c>
      <c r="L151" s="15">
        <v>0.06</v>
      </c>
      <c r="M151" s="15">
        <v>0.06</v>
      </c>
    </row>
    <row r="152" spans="1:13" x14ac:dyDescent="0.3">
      <c r="A152" s="14" t="s">
        <v>156</v>
      </c>
      <c r="B152" s="14" t="s">
        <v>156</v>
      </c>
      <c r="C152" s="12" t="s">
        <v>120</v>
      </c>
      <c r="D152" s="12" t="s">
        <v>120</v>
      </c>
      <c r="E152" s="14" t="s">
        <v>121</v>
      </c>
      <c r="F152" s="14" t="s">
        <v>121</v>
      </c>
      <c r="G152" s="14" t="s">
        <v>121</v>
      </c>
      <c r="H152" s="14" t="s">
        <v>121</v>
      </c>
      <c r="I152" s="7">
        <v>0.8</v>
      </c>
      <c r="J152" s="6">
        <v>45226.06</v>
      </c>
      <c r="K152" s="6">
        <v>137059</v>
      </c>
      <c r="L152" s="15">
        <v>0.33</v>
      </c>
      <c r="M152" s="15">
        <v>0.33</v>
      </c>
    </row>
    <row r="153" spans="1:13" x14ac:dyDescent="0.3">
      <c r="A153" s="14" t="s">
        <v>158</v>
      </c>
      <c r="B153" s="14" t="s">
        <v>158</v>
      </c>
      <c r="C153" s="12" t="s">
        <v>120</v>
      </c>
      <c r="D153" s="12" t="s">
        <v>120</v>
      </c>
      <c r="E153" s="14" t="s">
        <v>127</v>
      </c>
      <c r="F153" s="14" t="s">
        <v>127</v>
      </c>
      <c r="G153" s="14" t="s">
        <v>127</v>
      </c>
      <c r="H153" s="14" t="s">
        <v>127</v>
      </c>
      <c r="I153" s="7">
        <v>0.7</v>
      </c>
      <c r="J153" s="6">
        <v>44001.51</v>
      </c>
      <c r="K153" s="6">
        <v>377104</v>
      </c>
      <c r="L153" s="15">
        <v>0.12</v>
      </c>
      <c r="M153" s="15">
        <v>0.12</v>
      </c>
    </row>
    <row r="154" spans="1:13" x14ac:dyDescent="0.3">
      <c r="A154" s="14" t="s">
        <v>159</v>
      </c>
      <c r="B154" s="14" t="s">
        <v>159</v>
      </c>
      <c r="C154" s="12" t="s">
        <v>148</v>
      </c>
      <c r="D154" s="12" t="s">
        <v>148</v>
      </c>
      <c r="E154" s="14" t="s">
        <v>121</v>
      </c>
      <c r="F154" s="14" t="s">
        <v>121</v>
      </c>
      <c r="G154" s="14" t="s">
        <v>121</v>
      </c>
      <c r="H154" s="14" t="s">
        <v>121</v>
      </c>
      <c r="I154" s="7">
        <v>0.7</v>
      </c>
      <c r="J154" s="6">
        <v>43498.71</v>
      </c>
      <c r="K154" s="6">
        <v>148234</v>
      </c>
      <c r="L154" s="15">
        <v>0.28999999999999998</v>
      </c>
      <c r="M154" s="15">
        <v>0.28999999999999998</v>
      </c>
    </row>
    <row r="155" spans="1:13" x14ac:dyDescent="0.3">
      <c r="A155" s="14" t="s">
        <v>160</v>
      </c>
      <c r="B155" s="14" t="s">
        <v>160</v>
      </c>
      <c r="C155" s="12" t="s">
        <v>161</v>
      </c>
      <c r="D155" s="12" t="s">
        <v>161</v>
      </c>
      <c r="E155" s="14" t="s">
        <v>162</v>
      </c>
      <c r="F155" s="14" t="s">
        <v>162</v>
      </c>
      <c r="G155" s="14" t="s">
        <v>163</v>
      </c>
      <c r="H155" s="14" t="s">
        <v>163</v>
      </c>
      <c r="I155" s="7">
        <v>0.7</v>
      </c>
      <c r="J155" s="6">
        <v>43277.38</v>
      </c>
      <c r="K155" s="6">
        <v>309673</v>
      </c>
      <c r="L155" s="15">
        <v>0.14000000000000001</v>
      </c>
      <c r="M155" s="15">
        <v>0.14000000000000001</v>
      </c>
    </row>
    <row r="156" spans="1:13" x14ac:dyDescent="0.3">
      <c r="A156" s="14" t="s">
        <v>166</v>
      </c>
      <c r="B156" s="14" t="s">
        <v>166</v>
      </c>
      <c r="C156" s="12" t="s">
        <v>120</v>
      </c>
      <c r="D156" s="12" t="s">
        <v>120</v>
      </c>
      <c r="E156" s="14" t="s">
        <v>134</v>
      </c>
      <c r="F156" s="14" t="s">
        <v>134</v>
      </c>
      <c r="G156" s="14" t="s">
        <v>134</v>
      </c>
      <c r="H156" s="14" t="s">
        <v>134</v>
      </c>
      <c r="I156" s="7">
        <v>0.7</v>
      </c>
      <c r="J156" s="6">
        <v>42246.52</v>
      </c>
      <c r="K156" s="6">
        <v>176086</v>
      </c>
      <c r="L156" s="15">
        <v>0.24</v>
      </c>
      <c r="M156" s="15">
        <v>0.24</v>
      </c>
    </row>
    <row r="157" spans="1:13" x14ac:dyDescent="0.3">
      <c r="A157" s="14" t="s">
        <v>172</v>
      </c>
      <c r="B157" s="14" t="s">
        <v>172</v>
      </c>
      <c r="C157" s="12" t="s">
        <v>120</v>
      </c>
      <c r="D157" s="12" t="s">
        <v>120</v>
      </c>
      <c r="E157" s="14" t="s">
        <v>121</v>
      </c>
      <c r="F157" s="14" t="s">
        <v>121</v>
      </c>
      <c r="G157" s="14" t="s">
        <v>121</v>
      </c>
      <c r="H157" s="14" t="s">
        <v>121</v>
      </c>
      <c r="I157" s="7">
        <v>0.6</v>
      </c>
      <c r="J157" s="6">
        <v>37126.839999999997</v>
      </c>
      <c r="K157" s="6">
        <v>92276</v>
      </c>
      <c r="L157" s="15">
        <v>0.4</v>
      </c>
      <c r="M157" s="15">
        <v>0.4</v>
      </c>
    </row>
    <row r="158" spans="1:13" x14ac:dyDescent="0.3">
      <c r="A158" s="14" t="s">
        <v>173</v>
      </c>
      <c r="B158" s="14" t="s">
        <v>173</v>
      </c>
      <c r="C158" s="12" t="s">
        <v>120</v>
      </c>
      <c r="D158" s="12" t="s">
        <v>120</v>
      </c>
      <c r="E158" s="14" t="s">
        <v>121</v>
      </c>
      <c r="F158" s="14" t="s">
        <v>121</v>
      </c>
      <c r="G158" s="14" t="s">
        <v>121</v>
      </c>
      <c r="H158" s="14" t="s">
        <v>121</v>
      </c>
      <c r="I158" s="7">
        <v>0.6</v>
      </c>
      <c r="J158" s="6">
        <v>36765.65</v>
      </c>
      <c r="K158" s="6">
        <v>30</v>
      </c>
      <c r="L158" s="15">
        <v>1225.52</v>
      </c>
      <c r="M158" s="15">
        <v>1225.52</v>
      </c>
    </row>
    <row r="159" spans="1:13" x14ac:dyDescent="0.3">
      <c r="A159" s="14" t="s">
        <v>174</v>
      </c>
      <c r="B159" s="14" t="s">
        <v>174</v>
      </c>
      <c r="C159" s="12" t="s">
        <v>120</v>
      </c>
      <c r="D159" s="12" t="s">
        <v>120</v>
      </c>
      <c r="E159" s="14" t="s">
        <v>134</v>
      </c>
      <c r="F159" s="14" t="s">
        <v>134</v>
      </c>
      <c r="G159" s="14" t="s">
        <v>134</v>
      </c>
      <c r="H159" s="14" t="s">
        <v>134</v>
      </c>
      <c r="I159" s="7">
        <v>0.6</v>
      </c>
      <c r="J159" s="6">
        <v>36637.379999999997</v>
      </c>
      <c r="K159" s="6">
        <v>12</v>
      </c>
      <c r="L159" s="15">
        <v>3053.12</v>
      </c>
      <c r="M159" s="15">
        <v>3053.12</v>
      </c>
    </row>
    <row r="160" spans="1:13" x14ac:dyDescent="0.3">
      <c r="A160" s="14" t="s">
        <v>175</v>
      </c>
      <c r="B160" s="14" t="s">
        <v>175</v>
      </c>
      <c r="C160" s="12" t="s">
        <v>111</v>
      </c>
      <c r="D160" s="12" t="s">
        <v>111</v>
      </c>
      <c r="E160" s="14" t="s">
        <v>176</v>
      </c>
      <c r="F160" s="14" t="s">
        <v>176</v>
      </c>
      <c r="G160" s="14" t="s">
        <v>111</v>
      </c>
      <c r="H160" s="14" t="s">
        <v>111</v>
      </c>
      <c r="I160" s="7">
        <v>0.6</v>
      </c>
      <c r="J160" s="6">
        <v>34716.519999999997</v>
      </c>
      <c r="K160" s="6">
        <v>39</v>
      </c>
      <c r="L160" s="15">
        <v>890.17</v>
      </c>
      <c r="M160" s="15">
        <v>890.17</v>
      </c>
    </row>
    <row r="161" spans="1:13" x14ac:dyDescent="0.3">
      <c r="A161" s="14" t="s">
        <v>177</v>
      </c>
      <c r="B161" s="14" t="s">
        <v>177</v>
      </c>
      <c r="C161" s="12" t="s">
        <v>120</v>
      </c>
      <c r="D161" s="12" t="s">
        <v>120</v>
      </c>
      <c r="E161" s="14" t="s">
        <v>121</v>
      </c>
      <c r="F161" s="14" t="s">
        <v>121</v>
      </c>
      <c r="G161" s="14" t="s">
        <v>121</v>
      </c>
      <c r="H161" s="14" t="s">
        <v>121</v>
      </c>
      <c r="I161" s="7">
        <v>0.6</v>
      </c>
      <c r="J161" s="6">
        <v>34278.239999999998</v>
      </c>
      <c r="K161" s="6">
        <v>78013</v>
      </c>
      <c r="L161" s="15">
        <v>0.44</v>
      </c>
      <c r="M161" s="15">
        <v>0.44</v>
      </c>
    </row>
    <row r="162" spans="1:13" x14ac:dyDescent="0.3">
      <c r="A162" s="14" t="s">
        <v>157</v>
      </c>
      <c r="B162" s="14" t="s">
        <v>157</v>
      </c>
      <c r="C162" s="12" t="s">
        <v>120</v>
      </c>
      <c r="D162" s="12" t="s">
        <v>120</v>
      </c>
      <c r="E162" s="14" t="s">
        <v>155</v>
      </c>
      <c r="F162" s="14" t="s">
        <v>155</v>
      </c>
      <c r="G162" s="14" t="s">
        <v>155</v>
      </c>
      <c r="H162" s="14" t="s">
        <v>155</v>
      </c>
      <c r="I162" s="7">
        <v>0.6</v>
      </c>
      <c r="J162" s="6">
        <v>34036.449999999997</v>
      </c>
      <c r="K162" s="6">
        <v>7041</v>
      </c>
      <c r="L162" s="15">
        <v>4.83</v>
      </c>
      <c r="M162" s="15">
        <v>4.83</v>
      </c>
    </row>
    <row r="163" spans="1:13" x14ac:dyDescent="0.3">
      <c r="A163" s="14" t="s">
        <v>139</v>
      </c>
      <c r="B163" s="14" t="s">
        <v>139</v>
      </c>
      <c r="C163" s="12" t="s">
        <v>120</v>
      </c>
      <c r="D163" s="12" t="s">
        <v>120</v>
      </c>
      <c r="E163" s="14" t="s">
        <v>121</v>
      </c>
      <c r="F163" s="14" t="s">
        <v>121</v>
      </c>
      <c r="G163" s="14" t="s">
        <v>121</v>
      </c>
      <c r="H163" s="14" t="s">
        <v>121</v>
      </c>
      <c r="I163" s="7">
        <v>0.6</v>
      </c>
      <c r="J163" s="6">
        <v>33005.589999999997</v>
      </c>
      <c r="K163" s="6">
        <v>1585855</v>
      </c>
      <c r="L163" s="15">
        <v>0.02</v>
      </c>
      <c r="M163" s="15">
        <v>0.02</v>
      </c>
    </row>
    <row r="165" spans="1:13" ht="17.25" x14ac:dyDescent="0.3">
      <c r="A165" s="2" t="s">
        <v>178</v>
      </c>
    </row>
    <row r="166" spans="1:13" x14ac:dyDescent="0.3">
      <c r="A166" s="3" t="s">
        <v>179</v>
      </c>
    </row>
    <row r="167" spans="1:13" ht="50.1" customHeight="1" x14ac:dyDescent="0.3">
      <c r="A167" s="13" t="s">
        <v>110</v>
      </c>
      <c r="B167" s="13" t="s">
        <v>111</v>
      </c>
      <c r="C167" s="13" t="s">
        <v>112</v>
      </c>
      <c r="D167" s="13" t="s">
        <v>111</v>
      </c>
      <c r="E167" s="13" t="s">
        <v>113</v>
      </c>
      <c r="F167" s="13" t="s">
        <v>111</v>
      </c>
      <c r="G167" s="13" t="s">
        <v>114</v>
      </c>
      <c r="H167" s="13" t="s">
        <v>111</v>
      </c>
      <c r="I167" s="4" t="s">
        <v>180</v>
      </c>
      <c r="J167" s="4" t="s">
        <v>181</v>
      </c>
      <c r="K167" s="4" t="s">
        <v>117</v>
      </c>
      <c r="L167" s="13" t="s">
        <v>182</v>
      </c>
      <c r="M167" s="13" t="s">
        <v>111</v>
      </c>
    </row>
    <row r="168" spans="1:13" x14ac:dyDescent="0.3">
      <c r="A168" s="14" t="s">
        <v>122</v>
      </c>
      <c r="B168" s="14" t="s">
        <v>122</v>
      </c>
      <c r="C168" s="12" t="s">
        <v>123</v>
      </c>
      <c r="D168" s="12" t="s">
        <v>123</v>
      </c>
      <c r="E168" s="14" t="s">
        <v>124</v>
      </c>
      <c r="F168" s="14" t="s">
        <v>124</v>
      </c>
      <c r="G168" s="14" t="s">
        <v>125</v>
      </c>
      <c r="H168" s="14" t="s">
        <v>125</v>
      </c>
      <c r="I168" s="7">
        <v>47.8</v>
      </c>
      <c r="J168" s="6">
        <v>997075.06</v>
      </c>
      <c r="K168" s="6">
        <v>143</v>
      </c>
      <c r="L168" s="15">
        <v>6972.55</v>
      </c>
      <c r="M168" s="15">
        <v>6972.55</v>
      </c>
    </row>
    <row r="169" spans="1:13" x14ac:dyDescent="0.3">
      <c r="A169" s="14" t="s">
        <v>136</v>
      </c>
      <c r="B169" s="14" t="s">
        <v>136</v>
      </c>
      <c r="C169" s="12" t="s">
        <v>120</v>
      </c>
      <c r="D169" s="12" t="s">
        <v>120</v>
      </c>
      <c r="E169" s="14" t="s">
        <v>137</v>
      </c>
      <c r="F169" s="14" t="s">
        <v>137</v>
      </c>
      <c r="G169" s="14" t="s">
        <v>137</v>
      </c>
      <c r="H169" s="14" t="s">
        <v>137</v>
      </c>
      <c r="I169" s="7">
        <v>3.9</v>
      </c>
      <c r="J169" s="6">
        <v>80665.95</v>
      </c>
      <c r="K169" s="6">
        <v>8</v>
      </c>
      <c r="L169" s="15">
        <v>10083.24</v>
      </c>
      <c r="M169" s="15">
        <v>10083.24</v>
      </c>
    </row>
    <row r="170" spans="1:13" x14ac:dyDescent="0.3">
      <c r="A170" s="14" t="s">
        <v>122</v>
      </c>
      <c r="B170" s="14" t="s">
        <v>122</v>
      </c>
      <c r="C170" s="12" t="s">
        <v>123</v>
      </c>
      <c r="D170" s="12" t="s">
        <v>123</v>
      </c>
      <c r="E170" s="14" t="s">
        <v>124</v>
      </c>
      <c r="F170" s="14" t="s">
        <v>124</v>
      </c>
      <c r="G170" s="14" t="s">
        <v>140</v>
      </c>
      <c r="H170" s="14" t="s">
        <v>140</v>
      </c>
      <c r="I170" s="7">
        <v>3.6</v>
      </c>
      <c r="J170" s="6">
        <v>74938.73</v>
      </c>
      <c r="K170" s="6">
        <v>191</v>
      </c>
      <c r="L170" s="15">
        <v>392.35</v>
      </c>
      <c r="M170" s="15">
        <v>392.35</v>
      </c>
    </row>
    <row r="171" spans="1:13" x14ac:dyDescent="0.3">
      <c r="A171" s="14" t="s">
        <v>119</v>
      </c>
      <c r="B171" s="14" t="s">
        <v>119</v>
      </c>
      <c r="C171" s="12" t="s">
        <v>120</v>
      </c>
      <c r="D171" s="12" t="s">
        <v>120</v>
      </c>
      <c r="E171" s="14" t="s">
        <v>121</v>
      </c>
      <c r="F171" s="14" t="s">
        <v>121</v>
      </c>
      <c r="G171" s="14" t="s">
        <v>121</v>
      </c>
      <c r="H171" s="14" t="s">
        <v>121</v>
      </c>
      <c r="I171" s="7">
        <v>2.2999999999999998</v>
      </c>
      <c r="J171" s="6">
        <v>47368.77</v>
      </c>
      <c r="K171" s="6">
        <v>1325</v>
      </c>
      <c r="L171" s="15">
        <v>35.75</v>
      </c>
      <c r="M171" s="15">
        <v>35.75</v>
      </c>
    </row>
    <row r="172" spans="1:13" x14ac:dyDescent="0.3">
      <c r="A172" s="14" t="s">
        <v>149</v>
      </c>
      <c r="B172" s="14" t="s">
        <v>149</v>
      </c>
      <c r="C172" s="12" t="s">
        <v>123</v>
      </c>
      <c r="D172" s="12" t="s">
        <v>123</v>
      </c>
      <c r="E172" s="14" t="s">
        <v>150</v>
      </c>
      <c r="F172" s="14" t="s">
        <v>150</v>
      </c>
      <c r="G172" s="14" t="s">
        <v>111</v>
      </c>
      <c r="H172" s="14" t="s">
        <v>111</v>
      </c>
      <c r="I172" s="7">
        <v>1.9</v>
      </c>
      <c r="J172" s="6">
        <v>39032.01</v>
      </c>
      <c r="K172" s="6">
        <v>146</v>
      </c>
      <c r="L172" s="15">
        <v>267.33999999999997</v>
      </c>
      <c r="M172" s="15">
        <v>267.33999999999997</v>
      </c>
    </row>
    <row r="173" spans="1:13" x14ac:dyDescent="0.3">
      <c r="A173" s="14" t="s">
        <v>149</v>
      </c>
      <c r="B173" s="14" t="s">
        <v>149</v>
      </c>
      <c r="C173" s="12" t="s">
        <v>123</v>
      </c>
      <c r="D173" s="12" t="s">
        <v>123</v>
      </c>
      <c r="E173" s="14" t="s">
        <v>151</v>
      </c>
      <c r="F173" s="14" t="s">
        <v>151</v>
      </c>
      <c r="G173" s="14" t="s">
        <v>111</v>
      </c>
      <c r="H173" s="14" t="s">
        <v>111</v>
      </c>
      <c r="I173" s="7">
        <v>1.9</v>
      </c>
      <c r="J173" s="6">
        <v>38698.42</v>
      </c>
      <c r="K173" s="6">
        <v>158</v>
      </c>
      <c r="L173" s="15">
        <v>244.93</v>
      </c>
      <c r="M173" s="15">
        <v>244.93</v>
      </c>
    </row>
    <row r="174" spans="1:13" x14ac:dyDescent="0.3">
      <c r="A174" s="14" t="s">
        <v>149</v>
      </c>
      <c r="B174" s="14" t="s">
        <v>149</v>
      </c>
      <c r="C174" s="12" t="s">
        <v>123</v>
      </c>
      <c r="D174" s="12" t="s">
        <v>123</v>
      </c>
      <c r="E174" s="14" t="s">
        <v>183</v>
      </c>
      <c r="F174" s="14" t="s">
        <v>183</v>
      </c>
      <c r="G174" s="14" t="s">
        <v>111</v>
      </c>
      <c r="H174" s="14" t="s">
        <v>111</v>
      </c>
      <c r="I174" s="7">
        <v>1.6</v>
      </c>
      <c r="J174" s="6">
        <v>33031.120000000003</v>
      </c>
      <c r="K174" s="6">
        <v>140</v>
      </c>
      <c r="L174" s="15">
        <v>235.94</v>
      </c>
      <c r="M174" s="15">
        <v>235.94</v>
      </c>
    </row>
    <row r="175" spans="1:13" x14ac:dyDescent="0.3">
      <c r="A175" s="14" t="s">
        <v>149</v>
      </c>
      <c r="B175" s="14" t="s">
        <v>149</v>
      </c>
      <c r="C175" s="12" t="s">
        <v>123</v>
      </c>
      <c r="D175" s="12" t="s">
        <v>123</v>
      </c>
      <c r="E175" s="14" t="s">
        <v>184</v>
      </c>
      <c r="F175" s="14" t="s">
        <v>184</v>
      </c>
      <c r="G175" s="14" t="s">
        <v>111</v>
      </c>
      <c r="H175" s="14" t="s">
        <v>111</v>
      </c>
      <c r="I175" s="7">
        <v>1.3</v>
      </c>
      <c r="J175" s="6">
        <v>27133.11</v>
      </c>
      <c r="K175" s="6">
        <v>67</v>
      </c>
      <c r="L175" s="15">
        <v>404.97</v>
      </c>
      <c r="M175" s="15">
        <v>404.97</v>
      </c>
    </row>
    <row r="176" spans="1:13" x14ac:dyDescent="0.3">
      <c r="A176" s="14" t="s">
        <v>149</v>
      </c>
      <c r="B176" s="14" t="s">
        <v>149</v>
      </c>
      <c r="C176" s="12" t="s">
        <v>123</v>
      </c>
      <c r="D176" s="12" t="s">
        <v>123</v>
      </c>
      <c r="E176" s="14" t="s">
        <v>185</v>
      </c>
      <c r="F176" s="14" t="s">
        <v>185</v>
      </c>
      <c r="G176" s="14" t="s">
        <v>111</v>
      </c>
      <c r="H176" s="14" t="s">
        <v>111</v>
      </c>
      <c r="I176" s="7">
        <v>1.3</v>
      </c>
      <c r="J176" s="6">
        <v>27101.24</v>
      </c>
      <c r="K176" s="6">
        <v>62</v>
      </c>
      <c r="L176" s="15">
        <v>437.12</v>
      </c>
      <c r="M176" s="15">
        <v>437.12</v>
      </c>
    </row>
    <row r="177" spans="1:13" x14ac:dyDescent="0.3">
      <c r="A177" s="14" t="s">
        <v>186</v>
      </c>
      <c r="B177" s="14" t="s">
        <v>186</v>
      </c>
      <c r="C177" s="12" t="s">
        <v>120</v>
      </c>
      <c r="D177" s="12" t="s">
        <v>120</v>
      </c>
      <c r="E177" s="14" t="s">
        <v>121</v>
      </c>
      <c r="F177" s="14" t="s">
        <v>121</v>
      </c>
      <c r="G177" s="14" t="s">
        <v>121</v>
      </c>
      <c r="H177" s="14" t="s">
        <v>121</v>
      </c>
      <c r="I177" s="7">
        <v>1.3</v>
      </c>
      <c r="J177" s="6">
        <v>26911.55</v>
      </c>
      <c r="K177" s="6">
        <v>1558</v>
      </c>
      <c r="L177" s="15">
        <v>17.27</v>
      </c>
      <c r="M177" s="15">
        <v>17.27</v>
      </c>
    </row>
    <row r="178" spans="1:13" x14ac:dyDescent="0.3">
      <c r="A178" s="14" t="s">
        <v>187</v>
      </c>
      <c r="B178" s="14" t="s">
        <v>187</v>
      </c>
      <c r="C178" s="12" t="s">
        <v>120</v>
      </c>
      <c r="D178" s="12" t="s">
        <v>120</v>
      </c>
      <c r="E178" s="14" t="s">
        <v>134</v>
      </c>
      <c r="F178" s="14" t="s">
        <v>134</v>
      </c>
      <c r="G178" s="14" t="s">
        <v>134</v>
      </c>
      <c r="H178" s="14" t="s">
        <v>134</v>
      </c>
      <c r="I178" s="7">
        <v>1.2</v>
      </c>
      <c r="J178" s="6">
        <v>24800.77</v>
      </c>
      <c r="K178" s="6">
        <v>192</v>
      </c>
      <c r="L178" s="15">
        <v>129.16999999999999</v>
      </c>
      <c r="M178" s="15">
        <v>129.16999999999999</v>
      </c>
    </row>
    <row r="179" spans="1:13" x14ac:dyDescent="0.3">
      <c r="A179" s="14" t="s">
        <v>164</v>
      </c>
      <c r="B179" s="14" t="s">
        <v>164</v>
      </c>
      <c r="C179" s="12" t="s">
        <v>165</v>
      </c>
      <c r="D179" s="12" t="s">
        <v>165</v>
      </c>
      <c r="E179" s="14" t="s">
        <v>121</v>
      </c>
      <c r="F179" s="14" t="s">
        <v>121</v>
      </c>
      <c r="G179" s="14" t="s">
        <v>121</v>
      </c>
      <c r="H179" s="14" t="s">
        <v>121</v>
      </c>
      <c r="I179" s="7">
        <v>1.1000000000000001</v>
      </c>
      <c r="J179" s="6">
        <v>23299.45</v>
      </c>
      <c r="K179" s="6">
        <v>20259</v>
      </c>
      <c r="L179" s="15">
        <v>1.1499999999999999</v>
      </c>
      <c r="M179" s="15">
        <v>1.1499999999999999</v>
      </c>
    </row>
    <row r="180" spans="1:13" x14ac:dyDescent="0.3">
      <c r="A180" s="14" t="s">
        <v>149</v>
      </c>
      <c r="B180" s="14" t="s">
        <v>149</v>
      </c>
      <c r="C180" s="12" t="s">
        <v>123</v>
      </c>
      <c r="D180" s="12" t="s">
        <v>123</v>
      </c>
      <c r="E180" s="14" t="s">
        <v>188</v>
      </c>
      <c r="F180" s="14" t="s">
        <v>188</v>
      </c>
      <c r="G180" s="14" t="s">
        <v>111</v>
      </c>
      <c r="H180" s="14" t="s">
        <v>111</v>
      </c>
      <c r="I180" s="7">
        <v>1.1000000000000001</v>
      </c>
      <c r="J180" s="6">
        <v>22306.43</v>
      </c>
      <c r="K180" s="6">
        <v>60</v>
      </c>
      <c r="L180" s="15">
        <v>371.77</v>
      </c>
      <c r="M180" s="15">
        <v>371.77</v>
      </c>
    </row>
    <row r="181" spans="1:13" x14ac:dyDescent="0.3">
      <c r="A181" s="14" t="s">
        <v>154</v>
      </c>
      <c r="B181" s="14" t="s">
        <v>154</v>
      </c>
      <c r="C181" s="12" t="s">
        <v>120</v>
      </c>
      <c r="D181" s="12" t="s">
        <v>120</v>
      </c>
      <c r="E181" s="14" t="s">
        <v>155</v>
      </c>
      <c r="F181" s="14" t="s">
        <v>155</v>
      </c>
      <c r="G181" s="14" t="s">
        <v>155</v>
      </c>
      <c r="H181" s="14" t="s">
        <v>155</v>
      </c>
      <c r="I181" s="7">
        <v>0.9</v>
      </c>
      <c r="J181" s="6">
        <v>19115.490000000002</v>
      </c>
      <c r="K181" s="6">
        <v>4698</v>
      </c>
      <c r="L181" s="15">
        <v>4.07</v>
      </c>
      <c r="M181" s="15">
        <v>4.07</v>
      </c>
    </row>
    <row r="182" spans="1:13" x14ac:dyDescent="0.3">
      <c r="A182" s="14" t="s">
        <v>189</v>
      </c>
      <c r="B182" s="14" t="s">
        <v>189</v>
      </c>
      <c r="C182" s="12" t="s">
        <v>123</v>
      </c>
      <c r="D182" s="12" t="s">
        <v>123</v>
      </c>
      <c r="E182" s="14" t="s">
        <v>124</v>
      </c>
      <c r="F182" s="14" t="s">
        <v>124</v>
      </c>
      <c r="G182" s="14" t="s">
        <v>140</v>
      </c>
      <c r="H182" s="14" t="s">
        <v>140</v>
      </c>
      <c r="I182" s="7">
        <v>0.8</v>
      </c>
      <c r="J182" s="6">
        <v>16595.45</v>
      </c>
      <c r="K182" s="6">
        <v>53</v>
      </c>
      <c r="L182" s="15">
        <v>313.12</v>
      </c>
      <c r="M182" s="15">
        <v>313.12</v>
      </c>
    </row>
    <row r="183" spans="1:13" x14ac:dyDescent="0.3">
      <c r="A183" s="14" t="s">
        <v>190</v>
      </c>
      <c r="B183" s="14" t="s">
        <v>190</v>
      </c>
      <c r="C183" s="12" t="s">
        <v>120</v>
      </c>
      <c r="D183" s="12" t="s">
        <v>120</v>
      </c>
      <c r="E183" s="14" t="s">
        <v>134</v>
      </c>
      <c r="F183" s="14" t="s">
        <v>134</v>
      </c>
      <c r="G183" s="14" t="s">
        <v>134</v>
      </c>
      <c r="H183" s="14" t="s">
        <v>134</v>
      </c>
      <c r="I183" s="7">
        <v>0.6</v>
      </c>
      <c r="J183" s="6">
        <v>12223.15</v>
      </c>
      <c r="K183" s="6">
        <v>479</v>
      </c>
      <c r="L183" s="15">
        <v>25.52</v>
      </c>
      <c r="M183" s="15">
        <v>25.52</v>
      </c>
    </row>
    <row r="184" spans="1:13" x14ac:dyDescent="0.3">
      <c r="A184" s="14" t="s">
        <v>157</v>
      </c>
      <c r="B184" s="14" t="s">
        <v>157</v>
      </c>
      <c r="C184" s="12" t="s">
        <v>120</v>
      </c>
      <c r="D184" s="12" t="s">
        <v>120</v>
      </c>
      <c r="E184" s="14" t="s">
        <v>155</v>
      </c>
      <c r="F184" s="14" t="s">
        <v>155</v>
      </c>
      <c r="G184" s="14" t="s">
        <v>155</v>
      </c>
      <c r="H184" s="14" t="s">
        <v>155</v>
      </c>
      <c r="I184" s="7">
        <v>0.5</v>
      </c>
      <c r="J184" s="6">
        <v>11375.56</v>
      </c>
      <c r="K184" s="6">
        <v>7041</v>
      </c>
      <c r="L184" s="15">
        <v>1.62</v>
      </c>
      <c r="M184" s="15">
        <v>1.62</v>
      </c>
    </row>
    <row r="185" spans="1:13" x14ac:dyDescent="0.3">
      <c r="A185" s="14" t="s">
        <v>149</v>
      </c>
      <c r="B185" s="14" t="s">
        <v>149</v>
      </c>
      <c r="C185" s="12" t="s">
        <v>123</v>
      </c>
      <c r="D185" s="12" t="s">
        <v>123</v>
      </c>
      <c r="E185" s="14" t="s">
        <v>191</v>
      </c>
      <c r="F185" s="14" t="s">
        <v>191</v>
      </c>
      <c r="G185" s="14" t="s">
        <v>111</v>
      </c>
      <c r="H185" s="14" t="s">
        <v>111</v>
      </c>
      <c r="I185" s="7">
        <v>0.5</v>
      </c>
      <c r="J185" s="6">
        <v>10780.8</v>
      </c>
      <c r="K185" s="6">
        <v>44</v>
      </c>
      <c r="L185" s="15">
        <v>245.02</v>
      </c>
      <c r="M185" s="15">
        <v>245.02</v>
      </c>
    </row>
    <row r="186" spans="1:13" x14ac:dyDescent="0.3">
      <c r="A186" s="14" t="s">
        <v>192</v>
      </c>
      <c r="B186" s="14" t="s">
        <v>192</v>
      </c>
      <c r="C186" s="12" t="s">
        <v>120</v>
      </c>
      <c r="D186" s="12" t="s">
        <v>120</v>
      </c>
      <c r="E186" s="14" t="s">
        <v>134</v>
      </c>
      <c r="F186" s="14" t="s">
        <v>134</v>
      </c>
      <c r="G186" s="14" t="s">
        <v>134</v>
      </c>
      <c r="H186" s="14" t="s">
        <v>134</v>
      </c>
      <c r="I186" s="7">
        <v>0.5</v>
      </c>
      <c r="J186" s="6">
        <v>10641.57</v>
      </c>
      <c r="K186" s="6">
        <v>180</v>
      </c>
      <c r="L186" s="15">
        <v>59.12</v>
      </c>
      <c r="M186" s="15">
        <v>59.12</v>
      </c>
    </row>
    <row r="187" spans="1:13" x14ac:dyDescent="0.3">
      <c r="A187" s="14" t="s">
        <v>193</v>
      </c>
      <c r="B187" s="14" t="s">
        <v>193</v>
      </c>
      <c r="C187" s="12" t="s">
        <v>120</v>
      </c>
      <c r="D187" s="12" t="s">
        <v>120</v>
      </c>
      <c r="E187" s="14" t="s">
        <v>137</v>
      </c>
      <c r="F187" s="14" t="s">
        <v>137</v>
      </c>
      <c r="G187" s="14" t="s">
        <v>137</v>
      </c>
      <c r="H187" s="14" t="s">
        <v>137</v>
      </c>
      <c r="I187" s="7">
        <v>0.5</v>
      </c>
      <c r="J187" s="6">
        <v>10611.4</v>
      </c>
      <c r="K187" s="6">
        <v>1</v>
      </c>
      <c r="L187" s="15">
        <v>10611.4</v>
      </c>
      <c r="M187" s="15">
        <v>10611.4</v>
      </c>
    </row>
    <row r="188" spans="1:13" x14ac:dyDescent="0.3">
      <c r="A188" s="14" t="s">
        <v>194</v>
      </c>
      <c r="B188" s="14" t="s">
        <v>194</v>
      </c>
      <c r="C188" s="12" t="s">
        <v>120</v>
      </c>
      <c r="D188" s="12" t="s">
        <v>120</v>
      </c>
      <c r="E188" s="14" t="s">
        <v>134</v>
      </c>
      <c r="F188" s="14" t="s">
        <v>134</v>
      </c>
      <c r="G188" s="14" t="s">
        <v>134</v>
      </c>
      <c r="H188" s="14" t="s">
        <v>134</v>
      </c>
      <c r="I188" s="7">
        <v>0.5</v>
      </c>
      <c r="J188" s="6">
        <v>10258.49</v>
      </c>
      <c r="K188" s="6">
        <v>37</v>
      </c>
      <c r="L188" s="15">
        <v>277.26</v>
      </c>
      <c r="M188" s="15">
        <v>277.26</v>
      </c>
    </row>
    <row r="189" spans="1:13" x14ac:dyDescent="0.3">
      <c r="A189" s="14" t="s">
        <v>195</v>
      </c>
      <c r="B189" s="14" t="s">
        <v>195</v>
      </c>
      <c r="C189" s="12" t="s">
        <v>120</v>
      </c>
      <c r="D189" s="12" t="s">
        <v>120</v>
      </c>
      <c r="E189" s="14" t="s">
        <v>137</v>
      </c>
      <c r="F189" s="14" t="s">
        <v>137</v>
      </c>
      <c r="G189" s="14" t="s">
        <v>137</v>
      </c>
      <c r="H189" s="14" t="s">
        <v>137</v>
      </c>
      <c r="I189" s="7">
        <v>0.5</v>
      </c>
      <c r="J189" s="6">
        <v>10243.17</v>
      </c>
      <c r="K189" s="6">
        <v>1</v>
      </c>
      <c r="L189" s="15">
        <v>10243.17</v>
      </c>
      <c r="M189" s="15">
        <v>10243.17</v>
      </c>
    </row>
    <row r="190" spans="1:13" x14ac:dyDescent="0.3">
      <c r="A190" s="14" t="s">
        <v>196</v>
      </c>
      <c r="B190" s="14" t="s">
        <v>196</v>
      </c>
      <c r="C190" s="12" t="s">
        <v>120</v>
      </c>
      <c r="D190" s="12" t="s">
        <v>120</v>
      </c>
      <c r="E190" s="14" t="s">
        <v>121</v>
      </c>
      <c r="F190" s="14" t="s">
        <v>121</v>
      </c>
      <c r="G190" s="14" t="s">
        <v>121</v>
      </c>
      <c r="H190" s="14" t="s">
        <v>121</v>
      </c>
      <c r="I190" s="7">
        <v>0.4</v>
      </c>
      <c r="J190" s="6">
        <v>8956.81</v>
      </c>
      <c r="K190" s="6">
        <v>13</v>
      </c>
      <c r="L190" s="15">
        <v>688.99</v>
      </c>
      <c r="M190" s="15">
        <v>688.99</v>
      </c>
    </row>
    <row r="191" spans="1:13" x14ac:dyDescent="0.3">
      <c r="A191" s="14" t="s">
        <v>197</v>
      </c>
      <c r="B191" s="14" t="s">
        <v>197</v>
      </c>
      <c r="C191" s="12" t="s">
        <v>161</v>
      </c>
      <c r="D191" s="12" t="s">
        <v>161</v>
      </c>
      <c r="E191" s="14" t="s">
        <v>198</v>
      </c>
      <c r="F191" s="14" t="s">
        <v>198</v>
      </c>
      <c r="G191" s="14" t="s">
        <v>199</v>
      </c>
      <c r="H191" s="14" t="s">
        <v>199</v>
      </c>
      <c r="I191" s="7">
        <v>0.4</v>
      </c>
      <c r="J191" s="6">
        <v>8641.69</v>
      </c>
      <c r="K191" s="6">
        <v>633</v>
      </c>
      <c r="L191" s="15">
        <v>13.65</v>
      </c>
      <c r="M191" s="15">
        <v>13.65</v>
      </c>
    </row>
    <row r="192" spans="1:13" x14ac:dyDescent="0.3">
      <c r="A192" s="14" t="s">
        <v>186</v>
      </c>
      <c r="B192" s="14" t="s">
        <v>186</v>
      </c>
      <c r="C192" s="12" t="s">
        <v>120</v>
      </c>
      <c r="D192" s="12" t="s">
        <v>120</v>
      </c>
      <c r="E192" s="14" t="s">
        <v>121</v>
      </c>
      <c r="F192" s="14" t="s">
        <v>121</v>
      </c>
      <c r="G192" s="14" t="s">
        <v>111</v>
      </c>
      <c r="H192" s="14" t="s">
        <v>111</v>
      </c>
      <c r="I192" s="7">
        <v>0.4</v>
      </c>
      <c r="J192" s="6">
        <v>8609.9500000000007</v>
      </c>
      <c r="K192" s="6">
        <v>2</v>
      </c>
      <c r="L192" s="15">
        <v>4304.9799999999996</v>
      </c>
      <c r="M192" s="15">
        <v>4304.9799999999996</v>
      </c>
    </row>
    <row r="193" spans="1:13" x14ac:dyDescent="0.3">
      <c r="A193" s="14" t="s">
        <v>200</v>
      </c>
      <c r="B193" s="14" t="s">
        <v>200</v>
      </c>
      <c r="C193" s="12" t="s">
        <v>120</v>
      </c>
      <c r="D193" s="12" t="s">
        <v>120</v>
      </c>
      <c r="E193" s="14" t="s">
        <v>121</v>
      </c>
      <c r="F193" s="14" t="s">
        <v>121</v>
      </c>
      <c r="G193" s="14" t="s">
        <v>121</v>
      </c>
      <c r="H193" s="14" t="s">
        <v>121</v>
      </c>
      <c r="I193" s="7">
        <v>0.4</v>
      </c>
      <c r="J193" s="6">
        <v>8219.25</v>
      </c>
      <c r="K193" s="6">
        <v>554178</v>
      </c>
      <c r="L193" s="15">
        <v>0.01</v>
      </c>
      <c r="M193" s="15">
        <v>0.01</v>
      </c>
    </row>
    <row r="194" spans="1:13" x14ac:dyDescent="0.3">
      <c r="A194" s="14" t="s">
        <v>201</v>
      </c>
      <c r="B194" s="14" t="s">
        <v>201</v>
      </c>
      <c r="C194" s="12" t="s">
        <v>120</v>
      </c>
      <c r="D194" s="12" t="s">
        <v>120</v>
      </c>
      <c r="E194" s="14" t="s">
        <v>134</v>
      </c>
      <c r="F194" s="14" t="s">
        <v>134</v>
      </c>
      <c r="G194" s="14" t="s">
        <v>134</v>
      </c>
      <c r="H194" s="14" t="s">
        <v>134</v>
      </c>
      <c r="I194" s="7">
        <v>0.3</v>
      </c>
      <c r="J194" s="6">
        <v>7259.29</v>
      </c>
      <c r="K194" s="6">
        <v>481</v>
      </c>
      <c r="L194" s="15">
        <v>15.09</v>
      </c>
      <c r="M194" s="15">
        <v>15.09</v>
      </c>
    </row>
    <row r="195" spans="1:13" x14ac:dyDescent="0.3">
      <c r="A195" s="14" t="s">
        <v>202</v>
      </c>
      <c r="B195" s="14" t="s">
        <v>202</v>
      </c>
      <c r="C195" s="12" t="s">
        <v>120</v>
      </c>
      <c r="D195" s="12" t="s">
        <v>120</v>
      </c>
      <c r="E195" s="14" t="s">
        <v>134</v>
      </c>
      <c r="F195" s="14" t="s">
        <v>134</v>
      </c>
      <c r="G195" s="14" t="s">
        <v>134</v>
      </c>
      <c r="H195" s="14" t="s">
        <v>134</v>
      </c>
      <c r="I195" s="7">
        <v>0.3</v>
      </c>
      <c r="J195" s="6">
        <v>6818.17</v>
      </c>
      <c r="K195" s="6">
        <v>160</v>
      </c>
      <c r="L195" s="15">
        <v>42.61</v>
      </c>
      <c r="M195" s="15">
        <v>42.61</v>
      </c>
    </row>
    <row r="196" spans="1:13" x14ac:dyDescent="0.3">
      <c r="A196" s="14" t="s">
        <v>149</v>
      </c>
      <c r="B196" s="14" t="s">
        <v>149</v>
      </c>
      <c r="C196" s="12" t="s">
        <v>123</v>
      </c>
      <c r="D196" s="12" t="s">
        <v>123</v>
      </c>
      <c r="E196" s="14" t="s">
        <v>151</v>
      </c>
      <c r="F196" s="14" t="s">
        <v>151</v>
      </c>
      <c r="G196" s="14" t="s">
        <v>203</v>
      </c>
      <c r="H196" s="14" t="s">
        <v>203</v>
      </c>
      <c r="I196" s="7">
        <v>0.3</v>
      </c>
      <c r="J196" s="6">
        <v>6618.22</v>
      </c>
      <c r="K196" s="6">
        <v>19</v>
      </c>
      <c r="L196" s="15">
        <v>348.33</v>
      </c>
      <c r="M196" s="15">
        <v>348.33</v>
      </c>
    </row>
    <row r="197" spans="1:13" x14ac:dyDescent="0.3">
      <c r="A197" s="14" t="s">
        <v>149</v>
      </c>
      <c r="B197" s="14" t="s">
        <v>149</v>
      </c>
      <c r="C197" s="12" t="s">
        <v>123</v>
      </c>
      <c r="D197" s="12" t="s">
        <v>123</v>
      </c>
      <c r="E197" s="14" t="s">
        <v>150</v>
      </c>
      <c r="F197" s="14" t="s">
        <v>150</v>
      </c>
      <c r="G197" s="14" t="s">
        <v>203</v>
      </c>
      <c r="H197" s="14" t="s">
        <v>203</v>
      </c>
      <c r="I197" s="7">
        <v>0.3</v>
      </c>
      <c r="J197" s="6">
        <v>6514.65</v>
      </c>
      <c r="K197" s="6">
        <v>17</v>
      </c>
      <c r="L197" s="15">
        <v>383.21</v>
      </c>
      <c r="M197" s="15">
        <v>383.21</v>
      </c>
    </row>
    <row r="199" spans="1:13" ht="17.25" x14ac:dyDescent="0.3">
      <c r="A199" s="2" t="s">
        <v>204</v>
      </c>
    </row>
    <row r="200" spans="1:13" x14ac:dyDescent="0.3">
      <c r="A200" s="3" t="s">
        <v>205</v>
      </c>
    </row>
    <row r="201" spans="1:13" ht="50.1" customHeight="1" x14ac:dyDescent="0.3">
      <c r="A201" s="13" t="s">
        <v>110</v>
      </c>
      <c r="B201" s="13" t="s">
        <v>111</v>
      </c>
      <c r="C201" s="13" t="s">
        <v>112</v>
      </c>
      <c r="D201" s="13" t="s">
        <v>111</v>
      </c>
      <c r="E201" s="13" t="s">
        <v>113</v>
      </c>
      <c r="F201" s="13" t="s">
        <v>111</v>
      </c>
      <c r="G201" s="13" t="s">
        <v>114</v>
      </c>
      <c r="H201" s="13" t="s">
        <v>111</v>
      </c>
      <c r="I201" s="4" t="s">
        <v>206</v>
      </c>
      <c r="J201" s="4" t="s">
        <v>116</v>
      </c>
      <c r="K201" s="4" t="s">
        <v>117</v>
      </c>
      <c r="L201" s="13" t="s">
        <v>118</v>
      </c>
      <c r="M201" s="13" t="s">
        <v>111</v>
      </c>
    </row>
    <row r="202" spans="1:13" x14ac:dyDescent="0.3">
      <c r="A202" s="14" t="s">
        <v>126</v>
      </c>
      <c r="B202" s="14" t="s">
        <v>126</v>
      </c>
      <c r="C202" s="12" t="s">
        <v>120</v>
      </c>
      <c r="D202" s="12" t="s">
        <v>120</v>
      </c>
      <c r="E202" s="14" t="s">
        <v>127</v>
      </c>
      <c r="F202" s="14" t="s">
        <v>127</v>
      </c>
      <c r="G202" s="14" t="s">
        <v>127</v>
      </c>
      <c r="H202" s="14" t="s">
        <v>127</v>
      </c>
      <c r="I202" s="7">
        <v>6.3</v>
      </c>
      <c r="J202" s="6">
        <v>350855.1</v>
      </c>
      <c r="K202" s="6">
        <v>4672143</v>
      </c>
      <c r="L202" s="15">
        <v>0.08</v>
      </c>
      <c r="M202" s="15">
        <v>0.08</v>
      </c>
    </row>
    <row r="203" spans="1:13" x14ac:dyDescent="0.3">
      <c r="A203" s="14" t="s">
        <v>139</v>
      </c>
      <c r="B203" s="14" t="s">
        <v>139</v>
      </c>
      <c r="C203" s="12" t="s">
        <v>132</v>
      </c>
      <c r="D203" s="12" t="s">
        <v>132</v>
      </c>
      <c r="E203" s="14" t="s">
        <v>121</v>
      </c>
      <c r="F203" s="14" t="s">
        <v>121</v>
      </c>
      <c r="G203" s="14" t="s">
        <v>121</v>
      </c>
      <c r="H203" s="14" t="s">
        <v>121</v>
      </c>
      <c r="I203" s="7">
        <v>5.7</v>
      </c>
      <c r="J203" s="6">
        <v>93076.92</v>
      </c>
      <c r="K203" s="6">
        <v>4191622</v>
      </c>
      <c r="L203" s="15">
        <v>0.02</v>
      </c>
      <c r="M203" s="15">
        <v>0.02</v>
      </c>
    </row>
    <row r="204" spans="1:13" x14ac:dyDescent="0.3">
      <c r="A204" s="14" t="s">
        <v>207</v>
      </c>
      <c r="B204" s="14" t="s">
        <v>207</v>
      </c>
      <c r="C204" s="12" t="s">
        <v>208</v>
      </c>
      <c r="D204" s="12" t="s">
        <v>208</v>
      </c>
      <c r="E204" s="14" t="s">
        <v>209</v>
      </c>
      <c r="F204" s="14" t="s">
        <v>209</v>
      </c>
      <c r="G204" s="14" t="s">
        <v>210</v>
      </c>
      <c r="H204" s="14" t="s">
        <v>210</v>
      </c>
      <c r="I204" s="7">
        <v>4.5999999999999996</v>
      </c>
      <c r="J204" s="6">
        <v>34133.629999999997</v>
      </c>
      <c r="K204" s="6">
        <v>3405981</v>
      </c>
      <c r="L204" s="15">
        <v>0.01</v>
      </c>
      <c r="M204" s="15">
        <v>0.01</v>
      </c>
    </row>
    <row r="205" spans="1:13" x14ac:dyDescent="0.3">
      <c r="A205" s="14" t="s">
        <v>211</v>
      </c>
      <c r="B205" s="14" t="s">
        <v>211</v>
      </c>
      <c r="C205" s="12" t="s">
        <v>208</v>
      </c>
      <c r="D205" s="12" t="s">
        <v>208</v>
      </c>
      <c r="E205" s="14" t="s">
        <v>209</v>
      </c>
      <c r="F205" s="14" t="s">
        <v>209</v>
      </c>
      <c r="G205" s="14" t="s">
        <v>210</v>
      </c>
      <c r="H205" s="14" t="s">
        <v>210</v>
      </c>
      <c r="I205" s="7">
        <v>4.2</v>
      </c>
      <c r="J205" s="6">
        <v>33774.879999999997</v>
      </c>
      <c r="K205" s="6">
        <v>3101688</v>
      </c>
      <c r="L205" s="15">
        <v>0.01</v>
      </c>
      <c r="M205" s="15">
        <v>0.01</v>
      </c>
    </row>
    <row r="206" spans="1:13" x14ac:dyDescent="0.3">
      <c r="A206" s="14" t="s">
        <v>212</v>
      </c>
      <c r="B206" s="14" t="s">
        <v>212</v>
      </c>
      <c r="C206" s="12" t="s">
        <v>208</v>
      </c>
      <c r="D206" s="12" t="s">
        <v>208</v>
      </c>
      <c r="E206" s="14" t="s">
        <v>209</v>
      </c>
      <c r="F206" s="14" t="s">
        <v>209</v>
      </c>
      <c r="G206" s="14" t="s">
        <v>210</v>
      </c>
      <c r="H206" s="14" t="s">
        <v>210</v>
      </c>
      <c r="I206" s="7">
        <v>3.8</v>
      </c>
      <c r="J206" s="6">
        <v>27971.99</v>
      </c>
      <c r="K206" s="6">
        <v>2807517</v>
      </c>
      <c r="L206" s="15">
        <v>0.01</v>
      </c>
      <c r="M206" s="15">
        <v>0.01</v>
      </c>
    </row>
    <row r="207" spans="1:13" x14ac:dyDescent="0.3">
      <c r="A207" s="14" t="s">
        <v>213</v>
      </c>
      <c r="B207" s="14" t="s">
        <v>213</v>
      </c>
      <c r="C207" s="12" t="s">
        <v>120</v>
      </c>
      <c r="D207" s="12" t="s">
        <v>120</v>
      </c>
      <c r="E207" s="14" t="s">
        <v>137</v>
      </c>
      <c r="F207" s="14" t="s">
        <v>137</v>
      </c>
      <c r="G207" s="14" t="s">
        <v>137</v>
      </c>
      <c r="H207" s="14" t="s">
        <v>137</v>
      </c>
      <c r="I207" s="7">
        <v>3.6</v>
      </c>
      <c r="J207" s="6">
        <v>27657.05</v>
      </c>
      <c r="K207" s="6">
        <v>2622072</v>
      </c>
      <c r="L207" s="15">
        <v>0.01</v>
      </c>
      <c r="M207" s="15">
        <v>0.01</v>
      </c>
    </row>
    <row r="208" spans="1:13" x14ac:dyDescent="0.3">
      <c r="A208" s="14" t="s">
        <v>214</v>
      </c>
      <c r="B208" s="14" t="s">
        <v>214</v>
      </c>
      <c r="C208" s="12" t="s">
        <v>208</v>
      </c>
      <c r="D208" s="12" t="s">
        <v>208</v>
      </c>
      <c r="E208" s="14" t="s">
        <v>209</v>
      </c>
      <c r="F208" s="14" t="s">
        <v>209</v>
      </c>
      <c r="G208" s="14" t="s">
        <v>210</v>
      </c>
      <c r="H208" s="14" t="s">
        <v>210</v>
      </c>
      <c r="I208" s="7">
        <v>3.5</v>
      </c>
      <c r="J208" s="6">
        <v>10176.14</v>
      </c>
      <c r="K208" s="6">
        <v>2583827</v>
      </c>
      <c r="L208" s="15">
        <v>0</v>
      </c>
      <c r="M208" s="15">
        <v>0</v>
      </c>
    </row>
    <row r="209" spans="1:13" x14ac:dyDescent="0.3">
      <c r="A209" s="14" t="s">
        <v>213</v>
      </c>
      <c r="B209" s="14" t="s">
        <v>213</v>
      </c>
      <c r="C209" s="12" t="s">
        <v>120</v>
      </c>
      <c r="D209" s="12" t="s">
        <v>120</v>
      </c>
      <c r="E209" s="14" t="s">
        <v>121</v>
      </c>
      <c r="F209" s="14" t="s">
        <v>121</v>
      </c>
      <c r="G209" s="14" t="s">
        <v>121</v>
      </c>
      <c r="H209" s="14" t="s">
        <v>121</v>
      </c>
      <c r="I209" s="7">
        <v>3.1</v>
      </c>
      <c r="J209" s="6">
        <v>23751.88</v>
      </c>
      <c r="K209" s="6">
        <v>2267406</v>
      </c>
      <c r="L209" s="15">
        <v>0.01</v>
      </c>
      <c r="M209" s="15">
        <v>0.01</v>
      </c>
    </row>
    <row r="210" spans="1:13" x14ac:dyDescent="0.3">
      <c r="A210" s="14" t="s">
        <v>139</v>
      </c>
      <c r="B210" s="14" t="s">
        <v>139</v>
      </c>
      <c r="C210" s="12" t="s">
        <v>120</v>
      </c>
      <c r="D210" s="12" t="s">
        <v>120</v>
      </c>
      <c r="E210" s="14" t="s">
        <v>121</v>
      </c>
      <c r="F210" s="14" t="s">
        <v>121</v>
      </c>
      <c r="G210" s="14" t="s">
        <v>121</v>
      </c>
      <c r="H210" s="14" t="s">
        <v>121</v>
      </c>
      <c r="I210" s="7">
        <v>2.2000000000000002</v>
      </c>
      <c r="J210" s="6">
        <v>34441.35</v>
      </c>
      <c r="K210" s="6">
        <v>1585855</v>
      </c>
      <c r="L210" s="15">
        <v>0.02</v>
      </c>
      <c r="M210" s="15">
        <v>0.02</v>
      </c>
    </row>
    <row r="211" spans="1:13" x14ac:dyDescent="0.3">
      <c r="A211" s="14" t="s">
        <v>215</v>
      </c>
      <c r="B211" s="14" t="s">
        <v>215</v>
      </c>
      <c r="C211" s="12" t="s">
        <v>120</v>
      </c>
      <c r="D211" s="12" t="s">
        <v>120</v>
      </c>
      <c r="E211" s="14" t="s">
        <v>121</v>
      </c>
      <c r="F211" s="14" t="s">
        <v>121</v>
      </c>
      <c r="G211" s="14" t="s">
        <v>121</v>
      </c>
      <c r="H211" s="14" t="s">
        <v>121</v>
      </c>
      <c r="I211" s="7">
        <v>2.1</v>
      </c>
      <c r="J211" s="6">
        <v>16759.849999999999</v>
      </c>
      <c r="K211" s="6">
        <v>1585698</v>
      </c>
      <c r="L211" s="15">
        <v>0.01</v>
      </c>
      <c r="M211" s="15">
        <v>0.01</v>
      </c>
    </row>
    <row r="212" spans="1:13" x14ac:dyDescent="0.3">
      <c r="A212" s="14" t="s">
        <v>216</v>
      </c>
      <c r="B212" s="14" t="s">
        <v>216</v>
      </c>
      <c r="C212" s="12" t="s">
        <v>208</v>
      </c>
      <c r="D212" s="12" t="s">
        <v>208</v>
      </c>
      <c r="E212" s="14" t="s">
        <v>209</v>
      </c>
      <c r="F212" s="14" t="s">
        <v>209</v>
      </c>
      <c r="G212" s="14" t="s">
        <v>210</v>
      </c>
      <c r="H212" s="14" t="s">
        <v>210</v>
      </c>
      <c r="I212" s="7">
        <v>2.1</v>
      </c>
      <c r="J212" s="6">
        <v>12867.48</v>
      </c>
      <c r="K212" s="6">
        <v>1565307</v>
      </c>
      <c r="L212" s="15">
        <v>0.01</v>
      </c>
      <c r="M212" s="15">
        <v>0.01</v>
      </c>
    </row>
    <row r="213" spans="1:13" x14ac:dyDescent="0.3">
      <c r="A213" s="14" t="s">
        <v>217</v>
      </c>
      <c r="B213" s="14" t="s">
        <v>217</v>
      </c>
      <c r="C213" s="12" t="s">
        <v>208</v>
      </c>
      <c r="D213" s="12" t="s">
        <v>208</v>
      </c>
      <c r="E213" s="14" t="s">
        <v>209</v>
      </c>
      <c r="F213" s="14" t="s">
        <v>209</v>
      </c>
      <c r="G213" s="14" t="s">
        <v>210</v>
      </c>
      <c r="H213" s="14" t="s">
        <v>210</v>
      </c>
      <c r="I213" s="7">
        <v>1.9</v>
      </c>
      <c r="J213" s="6">
        <v>14545.51</v>
      </c>
      <c r="K213" s="6">
        <v>1390907</v>
      </c>
      <c r="L213" s="15">
        <v>0.01</v>
      </c>
      <c r="M213" s="15">
        <v>0.01</v>
      </c>
    </row>
    <row r="214" spans="1:13" x14ac:dyDescent="0.3">
      <c r="A214" s="14" t="s">
        <v>218</v>
      </c>
      <c r="B214" s="14" t="s">
        <v>218</v>
      </c>
      <c r="C214" s="12" t="s">
        <v>120</v>
      </c>
      <c r="D214" s="12" t="s">
        <v>120</v>
      </c>
      <c r="E214" s="14" t="s">
        <v>137</v>
      </c>
      <c r="F214" s="14" t="s">
        <v>137</v>
      </c>
      <c r="G214" s="14" t="s">
        <v>137</v>
      </c>
      <c r="H214" s="14" t="s">
        <v>137</v>
      </c>
      <c r="I214" s="7">
        <v>1.8</v>
      </c>
      <c r="J214" s="6">
        <v>14385.48</v>
      </c>
      <c r="K214" s="6">
        <v>1322493</v>
      </c>
      <c r="L214" s="15">
        <v>0.01</v>
      </c>
      <c r="M214" s="15">
        <v>0.01</v>
      </c>
    </row>
    <row r="215" spans="1:13" x14ac:dyDescent="0.3">
      <c r="A215" s="14" t="s">
        <v>219</v>
      </c>
      <c r="B215" s="14" t="s">
        <v>219</v>
      </c>
      <c r="C215" s="12" t="s">
        <v>208</v>
      </c>
      <c r="D215" s="12" t="s">
        <v>208</v>
      </c>
      <c r="E215" s="14" t="s">
        <v>209</v>
      </c>
      <c r="F215" s="14" t="s">
        <v>209</v>
      </c>
      <c r="G215" s="14" t="s">
        <v>210</v>
      </c>
      <c r="H215" s="14" t="s">
        <v>210</v>
      </c>
      <c r="I215" s="7">
        <v>1.5</v>
      </c>
      <c r="J215" s="6">
        <v>9538.23</v>
      </c>
      <c r="K215" s="6">
        <v>1139691</v>
      </c>
      <c r="L215" s="15">
        <v>0.01</v>
      </c>
      <c r="M215" s="15">
        <v>0.01</v>
      </c>
    </row>
    <row r="216" spans="1:13" x14ac:dyDescent="0.3">
      <c r="A216" s="14" t="s">
        <v>220</v>
      </c>
      <c r="B216" s="14" t="s">
        <v>220</v>
      </c>
      <c r="C216" s="12" t="s">
        <v>132</v>
      </c>
      <c r="D216" s="12" t="s">
        <v>132</v>
      </c>
      <c r="E216" s="14" t="s">
        <v>121</v>
      </c>
      <c r="F216" s="14" t="s">
        <v>121</v>
      </c>
      <c r="G216" s="14" t="s">
        <v>121</v>
      </c>
      <c r="H216" s="14" t="s">
        <v>121</v>
      </c>
      <c r="I216" s="7">
        <v>1.3</v>
      </c>
      <c r="J216" s="6">
        <v>10844.17</v>
      </c>
      <c r="K216" s="6">
        <v>988950</v>
      </c>
      <c r="L216" s="15">
        <v>0.01</v>
      </c>
      <c r="M216" s="15">
        <v>0.01</v>
      </c>
    </row>
    <row r="217" spans="1:13" x14ac:dyDescent="0.3">
      <c r="A217" s="14" t="s">
        <v>221</v>
      </c>
      <c r="B217" s="14" t="s">
        <v>221</v>
      </c>
      <c r="C217" s="12" t="s">
        <v>120</v>
      </c>
      <c r="D217" s="12" t="s">
        <v>120</v>
      </c>
      <c r="E217" s="14" t="s">
        <v>121</v>
      </c>
      <c r="F217" s="14" t="s">
        <v>121</v>
      </c>
      <c r="G217" s="14" t="s">
        <v>121</v>
      </c>
      <c r="H217" s="14" t="s">
        <v>121</v>
      </c>
      <c r="I217" s="7">
        <v>1.3</v>
      </c>
      <c r="J217" s="6">
        <v>9850.27</v>
      </c>
      <c r="K217" s="6">
        <v>966002</v>
      </c>
      <c r="L217" s="15">
        <v>0.01</v>
      </c>
      <c r="M217" s="15">
        <v>0.01</v>
      </c>
    </row>
    <row r="218" spans="1:13" x14ac:dyDescent="0.3">
      <c r="A218" s="14" t="s">
        <v>222</v>
      </c>
      <c r="B218" s="14" t="s">
        <v>222</v>
      </c>
      <c r="C218" s="12" t="s">
        <v>208</v>
      </c>
      <c r="D218" s="12" t="s">
        <v>208</v>
      </c>
      <c r="E218" s="14" t="s">
        <v>209</v>
      </c>
      <c r="F218" s="14" t="s">
        <v>209</v>
      </c>
      <c r="G218" s="14" t="s">
        <v>210</v>
      </c>
      <c r="H218" s="14" t="s">
        <v>210</v>
      </c>
      <c r="I218" s="7">
        <v>1.2</v>
      </c>
      <c r="J218" s="6">
        <v>7499.14</v>
      </c>
      <c r="K218" s="6">
        <v>859757</v>
      </c>
      <c r="L218" s="15">
        <v>0.01</v>
      </c>
      <c r="M218" s="15">
        <v>0.01</v>
      </c>
    </row>
    <row r="219" spans="1:13" x14ac:dyDescent="0.3">
      <c r="A219" s="14" t="s">
        <v>147</v>
      </c>
      <c r="B219" s="14" t="s">
        <v>147</v>
      </c>
      <c r="C219" s="12" t="s">
        <v>148</v>
      </c>
      <c r="D219" s="12" t="s">
        <v>148</v>
      </c>
      <c r="E219" s="14" t="s">
        <v>121</v>
      </c>
      <c r="F219" s="14" t="s">
        <v>121</v>
      </c>
      <c r="G219" s="14" t="s">
        <v>121</v>
      </c>
      <c r="H219" s="14" t="s">
        <v>121</v>
      </c>
      <c r="I219" s="7">
        <v>1.1000000000000001</v>
      </c>
      <c r="J219" s="6">
        <v>56014.26</v>
      </c>
      <c r="K219" s="6">
        <v>816541</v>
      </c>
      <c r="L219" s="15">
        <v>7.0000000000000007E-2</v>
      </c>
      <c r="M219" s="15">
        <v>7.0000000000000007E-2</v>
      </c>
    </row>
    <row r="220" spans="1:13" x14ac:dyDescent="0.3">
      <c r="A220" s="14" t="s">
        <v>144</v>
      </c>
      <c r="B220" s="14" t="s">
        <v>144</v>
      </c>
      <c r="C220" s="12" t="s">
        <v>120</v>
      </c>
      <c r="D220" s="12" t="s">
        <v>120</v>
      </c>
      <c r="E220" s="14" t="s">
        <v>145</v>
      </c>
      <c r="F220" s="14" t="s">
        <v>145</v>
      </c>
      <c r="G220" s="14" t="s">
        <v>145</v>
      </c>
      <c r="H220" s="14" t="s">
        <v>145</v>
      </c>
      <c r="I220" s="7">
        <v>1.1000000000000001</v>
      </c>
      <c r="J220" s="6">
        <v>61746.79</v>
      </c>
      <c r="K220" s="6">
        <v>781365</v>
      </c>
      <c r="L220" s="15">
        <v>0.08</v>
      </c>
      <c r="M220" s="15">
        <v>0.08</v>
      </c>
    </row>
    <row r="221" spans="1:13" x14ac:dyDescent="0.3">
      <c r="A221" s="14" t="s">
        <v>153</v>
      </c>
      <c r="B221" s="14" t="s">
        <v>153</v>
      </c>
      <c r="C221" s="12" t="s">
        <v>148</v>
      </c>
      <c r="D221" s="12" t="s">
        <v>148</v>
      </c>
      <c r="E221" s="14" t="s">
        <v>121</v>
      </c>
      <c r="F221" s="14" t="s">
        <v>121</v>
      </c>
      <c r="G221" s="14" t="s">
        <v>121</v>
      </c>
      <c r="H221" s="14" t="s">
        <v>121</v>
      </c>
      <c r="I221" s="7">
        <v>1</v>
      </c>
      <c r="J221" s="6">
        <v>47416.25</v>
      </c>
      <c r="K221" s="6">
        <v>739899</v>
      </c>
      <c r="L221" s="15">
        <v>0.06</v>
      </c>
      <c r="M221" s="15">
        <v>0.06</v>
      </c>
    </row>
    <row r="222" spans="1:13" x14ac:dyDescent="0.3">
      <c r="A222" s="14" t="s">
        <v>223</v>
      </c>
      <c r="B222" s="14" t="s">
        <v>223</v>
      </c>
      <c r="C222" s="12" t="s">
        <v>208</v>
      </c>
      <c r="D222" s="12" t="s">
        <v>208</v>
      </c>
      <c r="E222" s="14" t="s">
        <v>209</v>
      </c>
      <c r="F222" s="14" t="s">
        <v>209</v>
      </c>
      <c r="G222" s="14" t="s">
        <v>210</v>
      </c>
      <c r="H222" s="14" t="s">
        <v>210</v>
      </c>
      <c r="I222" s="7">
        <v>0.9</v>
      </c>
      <c r="J222" s="6">
        <v>4287.68</v>
      </c>
      <c r="K222" s="6">
        <v>638021</v>
      </c>
      <c r="L222" s="15">
        <v>0.01</v>
      </c>
      <c r="M222" s="15">
        <v>0.01</v>
      </c>
    </row>
    <row r="223" spans="1:13" x14ac:dyDescent="0.3">
      <c r="A223" s="14" t="s">
        <v>139</v>
      </c>
      <c r="B223" s="14" t="s">
        <v>139</v>
      </c>
      <c r="C223" s="12" t="s">
        <v>224</v>
      </c>
      <c r="D223" s="12" t="s">
        <v>224</v>
      </c>
      <c r="E223" s="14" t="s">
        <v>121</v>
      </c>
      <c r="F223" s="14" t="s">
        <v>121</v>
      </c>
      <c r="G223" s="14" t="s">
        <v>121</v>
      </c>
      <c r="H223" s="14" t="s">
        <v>121</v>
      </c>
      <c r="I223" s="7">
        <v>0.9</v>
      </c>
      <c r="J223" s="6">
        <v>13353.72</v>
      </c>
      <c r="K223" s="6">
        <v>629952</v>
      </c>
      <c r="L223" s="15">
        <v>0.02</v>
      </c>
      <c r="M223" s="15">
        <v>0.02</v>
      </c>
    </row>
    <row r="224" spans="1:13" x14ac:dyDescent="0.3">
      <c r="A224" s="14" t="s">
        <v>225</v>
      </c>
      <c r="B224" s="14" t="s">
        <v>225</v>
      </c>
      <c r="C224" s="12" t="s">
        <v>208</v>
      </c>
      <c r="D224" s="12" t="s">
        <v>208</v>
      </c>
      <c r="E224" s="14" t="s">
        <v>209</v>
      </c>
      <c r="F224" s="14" t="s">
        <v>209</v>
      </c>
      <c r="G224" s="14" t="s">
        <v>210</v>
      </c>
      <c r="H224" s="14" t="s">
        <v>210</v>
      </c>
      <c r="I224" s="7">
        <v>0.8</v>
      </c>
      <c r="J224" s="6">
        <v>5185.26</v>
      </c>
      <c r="K224" s="6">
        <v>618217</v>
      </c>
      <c r="L224" s="15">
        <v>0.01</v>
      </c>
      <c r="M224" s="15">
        <v>0.01</v>
      </c>
    </row>
    <row r="225" spans="1:13" x14ac:dyDescent="0.3">
      <c r="A225" s="14" t="s">
        <v>218</v>
      </c>
      <c r="B225" s="14" t="s">
        <v>218</v>
      </c>
      <c r="C225" s="12" t="s">
        <v>120</v>
      </c>
      <c r="D225" s="12" t="s">
        <v>120</v>
      </c>
      <c r="E225" s="14" t="s">
        <v>127</v>
      </c>
      <c r="F225" s="14" t="s">
        <v>127</v>
      </c>
      <c r="G225" s="14" t="s">
        <v>127</v>
      </c>
      <c r="H225" s="14" t="s">
        <v>127</v>
      </c>
      <c r="I225" s="7">
        <v>0.8</v>
      </c>
      <c r="J225" s="6">
        <v>6311.34</v>
      </c>
      <c r="K225" s="6">
        <v>602794</v>
      </c>
      <c r="L225" s="15">
        <v>0.01</v>
      </c>
      <c r="M225" s="15">
        <v>0.01</v>
      </c>
    </row>
    <row r="226" spans="1:13" x14ac:dyDescent="0.3">
      <c r="A226" s="14" t="s">
        <v>226</v>
      </c>
      <c r="B226" s="14" t="s">
        <v>226</v>
      </c>
      <c r="C226" s="12" t="s">
        <v>208</v>
      </c>
      <c r="D226" s="12" t="s">
        <v>208</v>
      </c>
      <c r="E226" s="14" t="s">
        <v>209</v>
      </c>
      <c r="F226" s="14" t="s">
        <v>209</v>
      </c>
      <c r="G226" s="14" t="s">
        <v>210</v>
      </c>
      <c r="H226" s="14" t="s">
        <v>210</v>
      </c>
      <c r="I226" s="7">
        <v>0.8</v>
      </c>
      <c r="J226" s="6">
        <v>2957.26</v>
      </c>
      <c r="K226" s="6">
        <v>590796</v>
      </c>
      <c r="L226" s="15">
        <v>0.01</v>
      </c>
      <c r="M226" s="15">
        <v>0.01</v>
      </c>
    </row>
    <row r="227" spans="1:13" x14ac:dyDescent="0.3">
      <c r="A227" s="14" t="s">
        <v>128</v>
      </c>
      <c r="B227" s="14" t="s">
        <v>128</v>
      </c>
      <c r="C227" s="12" t="s">
        <v>120</v>
      </c>
      <c r="D227" s="12" t="s">
        <v>120</v>
      </c>
      <c r="E227" s="14" t="s">
        <v>129</v>
      </c>
      <c r="F227" s="14" t="s">
        <v>129</v>
      </c>
      <c r="G227" s="14" t="s">
        <v>129</v>
      </c>
      <c r="H227" s="14" t="s">
        <v>129</v>
      </c>
      <c r="I227" s="7">
        <v>0.8</v>
      </c>
      <c r="J227" s="6">
        <v>311772.09999999998</v>
      </c>
      <c r="K227" s="6">
        <v>565435</v>
      </c>
      <c r="L227" s="15">
        <v>0.55000000000000004</v>
      </c>
      <c r="M227" s="15">
        <v>0.55000000000000004</v>
      </c>
    </row>
    <row r="228" spans="1:13" x14ac:dyDescent="0.3">
      <c r="A228" s="14" t="s">
        <v>146</v>
      </c>
      <c r="B228" s="14" t="s">
        <v>146</v>
      </c>
      <c r="C228" s="12" t="s">
        <v>120</v>
      </c>
      <c r="D228" s="12" t="s">
        <v>120</v>
      </c>
      <c r="E228" s="14" t="s">
        <v>129</v>
      </c>
      <c r="F228" s="14" t="s">
        <v>129</v>
      </c>
      <c r="G228" s="14" t="s">
        <v>129</v>
      </c>
      <c r="H228" s="14" t="s">
        <v>129</v>
      </c>
      <c r="I228" s="7">
        <v>0.8</v>
      </c>
      <c r="J228" s="6">
        <v>58638.43</v>
      </c>
      <c r="K228" s="6">
        <v>565157</v>
      </c>
      <c r="L228" s="15">
        <v>0.1</v>
      </c>
      <c r="M228" s="15">
        <v>0.1</v>
      </c>
    </row>
    <row r="229" spans="1:13" x14ac:dyDescent="0.3">
      <c r="A229" s="14" t="s">
        <v>200</v>
      </c>
      <c r="B229" s="14" t="s">
        <v>200</v>
      </c>
      <c r="C229" s="12" t="s">
        <v>120</v>
      </c>
      <c r="D229" s="12" t="s">
        <v>120</v>
      </c>
      <c r="E229" s="14" t="s">
        <v>121</v>
      </c>
      <c r="F229" s="14" t="s">
        <v>121</v>
      </c>
      <c r="G229" s="14" t="s">
        <v>121</v>
      </c>
      <c r="H229" s="14" t="s">
        <v>121</v>
      </c>
      <c r="I229" s="7">
        <v>0.8</v>
      </c>
      <c r="J229" s="6">
        <v>10431.4</v>
      </c>
      <c r="K229" s="6">
        <v>554178</v>
      </c>
      <c r="L229" s="15">
        <v>0.02</v>
      </c>
      <c r="M229" s="15">
        <v>0.02</v>
      </c>
    </row>
    <row r="230" spans="1:13" x14ac:dyDescent="0.3">
      <c r="A230" s="14" t="s">
        <v>227</v>
      </c>
      <c r="B230" s="14" t="s">
        <v>227</v>
      </c>
      <c r="C230" s="12" t="s">
        <v>132</v>
      </c>
      <c r="D230" s="12" t="s">
        <v>132</v>
      </c>
      <c r="E230" s="14" t="s">
        <v>121</v>
      </c>
      <c r="F230" s="14" t="s">
        <v>121</v>
      </c>
      <c r="G230" s="14" t="s">
        <v>121</v>
      </c>
      <c r="H230" s="14" t="s">
        <v>121</v>
      </c>
      <c r="I230" s="7">
        <v>0.7</v>
      </c>
      <c r="J230" s="6">
        <v>31758.31</v>
      </c>
      <c r="K230" s="6">
        <v>540560</v>
      </c>
      <c r="L230" s="15">
        <v>0.06</v>
      </c>
      <c r="M230" s="15">
        <v>0.06</v>
      </c>
    </row>
    <row r="231" spans="1:13" x14ac:dyDescent="0.3">
      <c r="A231" s="14" t="s">
        <v>228</v>
      </c>
      <c r="B231" s="14" t="s">
        <v>228</v>
      </c>
      <c r="C231" s="12" t="s">
        <v>120</v>
      </c>
      <c r="D231" s="12" t="s">
        <v>120</v>
      </c>
      <c r="E231" s="14" t="s">
        <v>127</v>
      </c>
      <c r="F231" s="14" t="s">
        <v>127</v>
      </c>
      <c r="G231" s="14" t="s">
        <v>127</v>
      </c>
      <c r="H231" s="14" t="s">
        <v>127</v>
      </c>
      <c r="I231" s="7">
        <v>0.7</v>
      </c>
      <c r="J231" s="6">
        <v>4132.6000000000004</v>
      </c>
      <c r="K231" s="6">
        <v>531058</v>
      </c>
      <c r="L231" s="15">
        <v>0.01</v>
      </c>
      <c r="M231" s="15">
        <v>0.01</v>
      </c>
    </row>
    <row r="233" spans="1:13" ht="17.25" x14ac:dyDescent="0.3">
      <c r="A233" s="2" t="s">
        <v>229</v>
      </c>
    </row>
    <row r="234" spans="1:13" x14ac:dyDescent="0.3">
      <c r="A234" s="3" t="s">
        <v>230</v>
      </c>
    </row>
    <row r="235" spans="1:13" ht="50.1" customHeight="1" x14ac:dyDescent="0.3">
      <c r="A235" s="13" t="s">
        <v>110</v>
      </c>
      <c r="B235" s="13" t="s">
        <v>111</v>
      </c>
      <c r="C235" s="13" t="s">
        <v>112</v>
      </c>
      <c r="D235" s="13" t="s">
        <v>111</v>
      </c>
      <c r="E235" s="13" t="s">
        <v>113</v>
      </c>
      <c r="F235" s="13" t="s">
        <v>111</v>
      </c>
      <c r="G235" s="13" t="s">
        <v>114</v>
      </c>
      <c r="H235" s="13" t="s">
        <v>111</v>
      </c>
      <c r="I235" s="4" t="s">
        <v>231</v>
      </c>
      <c r="J235" s="4" t="s">
        <v>232</v>
      </c>
      <c r="K235" s="4" t="s">
        <v>117</v>
      </c>
      <c r="L235" s="13" t="s">
        <v>233</v>
      </c>
      <c r="M235" s="13" t="s">
        <v>111</v>
      </c>
    </row>
    <row r="236" spans="1:13" x14ac:dyDescent="0.3">
      <c r="A236" s="14" t="s">
        <v>119</v>
      </c>
      <c r="B236" s="14" t="s">
        <v>119</v>
      </c>
      <c r="C236" s="12" t="s">
        <v>120</v>
      </c>
      <c r="D236" s="12" t="s">
        <v>120</v>
      </c>
      <c r="E236" s="14" t="s">
        <v>121</v>
      </c>
      <c r="F236" s="14" t="s">
        <v>121</v>
      </c>
      <c r="G236" s="14" t="s">
        <v>121</v>
      </c>
      <c r="H236" s="14" t="s">
        <v>121</v>
      </c>
      <c r="I236" s="7">
        <v>32.1</v>
      </c>
      <c r="J236" s="6">
        <v>626001598858</v>
      </c>
      <c r="K236" s="6">
        <v>1325</v>
      </c>
      <c r="L236" s="15">
        <v>472454048</v>
      </c>
      <c r="M236" s="15">
        <v>472454048</v>
      </c>
    </row>
    <row r="237" spans="1:13" x14ac:dyDescent="0.3">
      <c r="A237" s="14" t="s">
        <v>128</v>
      </c>
      <c r="B237" s="14" t="s">
        <v>128</v>
      </c>
      <c r="C237" s="12" t="s">
        <v>120</v>
      </c>
      <c r="D237" s="12" t="s">
        <v>120</v>
      </c>
      <c r="E237" s="14" t="s">
        <v>129</v>
      </c>
      <c r="F237" s="14" t="s">
        <v>129</v>
      </c>
      <c r="G237" s="14" t="s">
        <v>129</v>
      </c>
      <c r="H237" s="14" t="s">
        <v>129</v>
      </c>
      <c r="I237" s="7">
        <v>4.9000000000000004</v>
      </c>
      <c r="J237" s="6">
        <v>95245953386</v>
      </c>
      <c r="K237" s="6">
        <v>565435</v>
      </c>
      <c r="L237" s="15">
        <v>168447.22</v>
      </c>
      <c r="M237" s="15">
        <v>168447.22</v>
      </c>
    </row>
    <row r="238" spans="1:13" x14ac:dyDescent="0.3">
      <c r="A238" s="14" t="s">
        <v>126</v>
      </c>
      <c r="B238" s="14" t="s">
        <v>126</v>
      </c>
      <c r="C238" s="12" t="s">
        <v>120</v>
      </c>
      <c r="D238" s="12" t="s">
        <v>120</v>
      </c>
      <c r="E238" s="14" t="s">
        <v>127</v>
      </c>
      <c r="F238" s="14" t="s">
        <v>127</v>
      </c>
      <c r="G238" s="14" t="s">
        <v>127</v>
      </c>
      <c r="H238" s="14" t="s">
        <v>127</v>
      </c>
      <c r="I238" s="7">
        <v>3.4</v>
      </c>
      <c r="J238" s="6">
        <v>65851936907</v>
      </c>
      <c r="K238" s="6">
        <v>4672143</v>
      </c>
      <c r="L238" s="15">
        <v>14094.59</v>
      </c>
      <c r="M238" s="15">
        <v>14094.59</v>
      </c>
    </row>
    <row r="239" spans="1:13" x14ac:dyDescent="0.3">
      <c r="A239" s="14" t="s">
        <v>147</v>
      </c>
      <c r="B239" s="14" t="s">
        <v>147</v>
      </c>
      <c r="C239" s="12" t="s">
        <v>148</v>
      </c>
      <c r="D239" s="12" t="s">
        <v>148</v>
      </c>
      <c r="E239" s="14" t="s">
        <v>121</v>
      </c>
      <c r="F239" s="14" t="s">
        <v>121</v>
      </c>
      <c r="G239" s="14" t="s">
        <v>121</v>
      </c>
      <c r="H239" s="14" t="s">
        <v>121</v>
      </c>
      <c r="I239" s="7">
        <v>3</v>
      </c>
      <c r="J239" s="6">
        <v>59228433500</v>
      </c>
      <c r="K239" s="6">
        <v>816541</v>
      </c>
      <c r="L239" s="15">
        <v>72535.77</v>
      </c>
      <c r="M239" s="15">
        <v>72535.77</v>
      </c>
    </row>
    <row r="240" spans="1:13" x14ac:dyDescent="0.3">
      <c r="A240" s="14" t="s">
        <v>153</v>
      </c>
      <c r="B240" s="14" t="s">
        <v>153</v>
      </c>
      <c r="C240" s="12" t="s">
        <v>148</v>
      </c>
      <c r="D240" s="12" t="s">
        <v>148</v>
      </c>
      <c r="E240" s="14" t="s">
        <v>121</v>
      </c>
      <c r="F240" s="14" t="s">
        <v>121</v>
      </c>
      <c r="G240" s="14" t="s">
        <v>121</v>
      </c>
      <c r="H240" s="14" t="s">
        <v>121</v>
      </c>
      <c r="I240" s="7">
        <v>2.4</v>
      </c>
      <c r="J240" s="6">
        <v>46603323319</v>
      </c>
      <c r="K240" s="6">
        <v>739899</v>
      </c>
      <c r="L240" s="15">
        <v>62986.06</v>
      </c>
      <c r="M240" s="15">
        <v>62986.06</v>
      </c>
    </row>
    <row r="241" spans="1:13" x14ac:dyDescent="0.3">
      <c r="A241" s="14" t="s">
        <v>143</v>
      </c>
      <c r="B241" s="14" t="s">
        <v>143</v>
      </c>
      <c r="C241" s="12" t="s">
        <v>120</v>
      </c>
      <c r="D241" s="12" t="s">
        <v>120</v>
      </c>
      <c r="E241" s="14" t="s">
        <v>129</v>
      </c>
      <c r="F241" s="14" t="s">
        <v>129</v>
      </c>
      <c r="G241" s="14" t="s">
        <v>129</v>
      </c>
      <c r="H241" s="14" t="s">
        <v>129</v>
      </c>
      <c r="I241" s="7">
        <v>2.1</v>
      </c>
      <c r="J241" s="6">
        <v>41267876826</v>
      </c>
      <c r="K241" s="6">
        <v>22676</v>
      </c>
      <c r="L241" s="15">
        <v>1819892.2</v>
      </c>
      <c r="M241" s="15">
        <v>1819892.2</v>
      </c>
    </row>
    <row r="242" spans="1:13" x14ac:dyDescent="0.3">
      <c r="A242" s="14" t="s">
        <v>177</v>
      </c>
      <c r="B242" s="14" t="s">
        <v>177</v>
      </c>
      <c r="C242" s="12" t="s">
        <v>120</v>
      </c>
      <c r="D242" s="12" t="s">
        <v>120</v>
      </c>
      <c r="E242" s="14" t="s">
        <v>121</v>
      </c>
      <c r="F242" s="14" t="s">
        <v>121</v>
      </c>
      <c r="G242" s="14" t="s">
        <v>121</v>
      </c>
      <c r="H242" s="14" t="s">
        <v>121</v>
      </c>
      <c r="I242" s="7">
        <v>1.9</v>
      </c>
      <c r="J242" s="6">
        <v>36114880289</v>
      </c>
      <c r="K242" s="6">
        <v>78013</v>
      </c>
      <c r="L242" s="15">
        <v>462934.12</v>
      </c>
      <c r="M242" s="15">
        <v>462934.12</v>
      </c>
    </row>
    <row r="243" spans="1:13" x14ac:dyDescent="0.3">
      <c r="A243" s="14" t="s">
        <v>131</v>
      </c>
      <c r="B243" s="14" t="s">
        <v>131</v>
      </c>
      <c r="C243" s="12" t="s">
        <v>132</v>
      </c>
      <c r="D243" s="12" t="s">
        <v>132</v>
      </c>
      <c r="E243" s="14" t="s">
        <v>121</v>
      </c>
      <c r="F243" s="14" t="s">
        <v>121</v>
      </c>
      <c r="G243" s="14" t="s">
        <v>121</v>
      </c>
      <c r="H243" s="14" t="s">
        <v>121</v>
      </c>
      <c r="I243" s="7">
        <v>1.8</v>
      </c>
      <c r="J243" s="6">
        <v>34959657147</v>
      </c>
      <c r="K243" s="6">
        <v>163644</v>
      </c>
      <c r="L243" s="15">
        <v>213632.38</v>
      </c>
      <c r="M243" s="15">
        <v>213632.38</v>
      </c>
    </row>
    <row r="244" spans="1:13" x14ac:dyDescent="0.3">
      <c r="A244" s="14" t="s">
        <v>141</v>
      </c>
      <c r="B244" s="14" t="s">
        <v>141</v>
      </c>
      <c r="C244" s="12" t="s">
        <v>120</v>
      </c>
      <c r="D244" s="12" t="s">
        <v>120</v>
      </c>
      <c r="E244" s="14" t="s">
        <v>121</v>
      </c>
      <c r="F244" s="14" t="s">
        <v>121</v>
      </c>
      <c r="G244" s="14" t="s">
        <v>121</v>
      </c>
      <c r="H244" s="14" t="s">
        <v>121</v>
      </c>
      <c r="I244" s="7">
        <v>1.5</v>
      </c>
      <c r="J244" s="6">
        <v>28291624617</v>
      </c>
      <c r="K244" s="6">
        <v>108775</v>
      </c>
      <c r="L244" s="15">
        <v>260093.08</v>
      </c>
      <c r="M244" s="15">
        <v>260093.08</v>
      </c>
    </row>
    <row r="245" spans="1:13" x14ac:dyDescent="0.3">
      <c r="A245" s="14" t="s">
        <v>234</v>
      </c>
      <c r="B245" s="14" t="s">
        <v>234</v>
      </c>
      <c r="C245" s="12" t="s">
        <v>120</v>
      </c>
      <c r="D245" s="12" t="s">
        <v>120</v>
      </c>
      <c r="E245" s="14" t="s">
        <v>137</v>
      </c>
      <c r="F245" s="14" t="s">
        <v>137</v>
      </c>
      <c r="G245" s="14" t="s">
        <v>137</v>
      </c>
      <c r="H245" s="14" t="s">
        <v>137</v>
      </c>
      <c r="I245" s="7">
        <v>1</v>
      </c>
      <c r="J245" s="6">
        <v>19678664611</v>
      </c>
      <c r="K245" s="6">
        <v>96</v>
      </c>
      <c r="L245" s="15">
        <v>204986096</v>
      </c>
      <c r="M245" s="15">
        <v>204986096</v>
      </c>
    </row>
    <row r="246" spans="1:13" x14ac:dyDescent="0.3">
      <c r="A246" s="14" t="s">
        <v>166</v>
      </c>
      <c r="B246" s="14" t="s">
        <v>166</v>
      </c>
      <c r="C246" s="12" t="s">
        <v>120</v>
      </c>
      <c r="D246" s="12" t="s">
        <v>120</v>
      </c>
      <c r="E246" s="14" t="s">
        <v>134</v>
      </c>
      <c r="F246" s="14" t="s">
        <v>134</v>
      </c>
      <c r="G246" s="14" t="s">
        <v>134</v>
      </c>
      <c r="H246" s="14" t="s">
        <v>134</v>
      </c>
      <c r="I246" s="7">
        <v>1</v>
      </c>
      <c r="J246" s="6">
        <v>18959751298</v>
      </c>
      <c r="K246" s="6">
        <v>176086</v>
      </c>
      <c r="L246" s="15">
        <v>107673.25</v>
      </c>
      <c r="M246" s="15">
        <v>107673.25</v>
      </c>
    </row>
    <row r="247" spans="1:13" x14ac:dyDescent="0.3">
      <c r="A247" s="14" t="s">
        <v>138</v>
      </c>
      <c r="B247" s="14" t="s">
        <v>138</v>
      </c>
      <c r="C247" s="12" t="s">
        <v>120</v>
      </c>
      <c r="D247" s="12" t="s">
        <v>120</v>
      </c>
      <c r="E247" s="14" t="s">
        <v>134</v>
      </c>
      <c r="F247" s="14" t="s">
        <v>134</v>
      </c>
      <c r="G247" s="14" t="s">
        <v>134</v>
      </c>
      <c r="H247" s="14" t="s">
        <v>134</v>
      </c>
      <c r="I247" s="7">
        <v>1</v>
      </c>
      <c r="J247" s="6">
        <v>18954772231</v>
      </c>
      <c r="K247" s="6">
        <v>171960</v>
      </c>
      <c r="L247" s="15">
        <v>110227.8</v>
      </c>
      <c r="M247" s="15">
        <v>110227.8</v>
      </c>
    </row>
    <row r="248" spans="1:13" x14ac:dyDescent="0.3">
      <c r="A248" s="14" t="s">
        <v>235</v>
      </c>
      <c r="B248" s="14" t="s">
        <v>235</v>
      </c>
      <c r="C248" s="12" t="s">
        <v>120</v>
      </c>
      <c r="D248" s="12" t="s">
        <v>120</v>
      </c>
      <c r="E248" s="14" t="s">
        <v>121</v>
      </c>
      <c r="F248" s="14" t="s">
        <v>121</v>
      </c>
      <c r="G248" s="14" t="s">
        <v>121</v>
      </c>
      <c r="H248" s="14" t="s">
        <v>121</v>
      </c>
      <c r="I248" s="7">
        <v>0.9</v>
      </c>
      <c r="J248" s="6">
        <v>17159565660</v>
      </c>
      <c r="K248" s="6">
        <v>61741</v>
      </c>
      <c r="L248" s="15">
        <v>277928.21999999997</v>
      </c>
      <c r="M248" s="15">
        <v>277928.21999999997</v>
      </c>
    </row>
    <row r="249" spans="1:13" x14ac:dyDescent="0.3">
      <c r="A249" s="14" t="s">
        <v>133</v>
      </c>
      <c r="B249" s="14" t="s">
        <v>133</v>
      </c>
      <c r="C249" s="12" t="s">
        <v>120</v>
      </c>
      <c r="D249" s="12" t="s">
        <v>120</v>
      </c>
      <c r="E249" s="14" t="s">
        <v>134</v>
      </c>
      <c r="F249" s="14" t="s">
        <v>134</v>
      </c>
      <c r="G249" s="14" t="s">
        <v>134</v>
      </c>
      <c r="H249" s="14" t="s">
        <v>134</v>
      </c>
      <c r="I249" s="7">
        <v>0.9</v>
      </c>
      <c r="J249" s="6">
        <v>16559844611</v>
      </c>
      <c r="K249" s="6">
        <v>167599</v>
      </c>
      <c r="L249" s="15">
        <v>98806.34</v>
      </c>
      <c r="M249" s="15">
        <v>98806.34</v>
      </c>
    </row>
    <row r="250" spans="1:13" x14ac:dyDescent="0.3">
      <c r="A250" s="14" t="s">
        <v>146</v>
      </c>
      <c r="B250" s="14" t="s">
        <v>146</v>
      </c>
      <c r="C250" s="12" t="s">
        <v>120</v>
      </c>
      <c r="D250" s="12" t="s">
        <v>120</v>
      </c>
      <c r="E250" s="14" t="s">
        <v>129</v>
      </c>
      <c r="F250" s="14" t="s">
        <v>129</v>
      </c>
      <c r="G250" s="14" t="s">
        <v>129</v>
      </c>
      <c r="H250" s="14" t="s">
        <v>129</v>
      </c>
      <c r="I250" s="7">
        <v>0.8</v>
      </c>
      <c r="J250" s="6">
        <v>16264791952</v>
      </c>
      <c r="K250" s="6">
        <v>565157</v>
      </c>
      <c r="L250" s="15">
        <v>28779.25</v>
      </c>
      <c r="M250" s="15">
        <v>28779.25</v>
      </c>
    </row>
    <row r="251" spans="1:13" x14ac:dyDescent="0.3">
      <c r="A251" s="14" t="s">
        <v>236</v>
      </c>
      <c r="B251" s="14" t="s">
        <v>236</v>
      </c>
      <c r="C251" s="12" t="s">
        <v>132</v>
      </c>
      <c r="D251" s="12" t="s">
        <v>132</v>
      </c>
      <c r="E251" s="14" t="s">
        <v>121</v>
      </c>
      <c r="F251" s="14" t="s">
        <v>121</v>
      </c>
      <c r="G251" s="14" t="s">
        <v>121</v>
      </c>
      <c r="H251" s="14" t="s">
        <v>121</v>
      </c>
      <c r="I251" s="7">
        <v>0.8</v>
      </c>
      <c r="J251" s="6">
        <v>16068555215</v>
      </c>
      <c r="K251" s="6">
        <v>162688</v>
      </c>
      <c r="L251" s="15">
        <v>98769.15</v>
      </c>
      <c r="M251" s="15">
        <v>98769.15</v>
      </c>
    </row>
    <row r="252" spans="1:13" x14ac:dyDescent="0.3">
      <c r="A252" s="14" t="s">
        <v>144</v>
      </c>
      <c r="B252" s="14" t="s">
        <v>144</v>
      </c>
      <c r="C252" s="12" t="s">
        <v>120</v>
      </c>
      <c r="D252" s="12" t="s">
        <v>120</v>
      </c>
      <c r="E252" s="14" t="s">
        <v>145</v>
      </c>
      <c r="F252" s="14" t="s">
        <v>145</v>
      </c>
      <c r="G252" s="14" t="s">
        <v>145</v>
      </c>
      <c r="H252" s="14" t="s">
        <v>145</v>
      </c>
      <c r="I252" s="7">
        <v>0.8</v>
      </c>
      <c r="J252" s="6">
        <v>15158205759</v>
      </c>
      <c r="K252" s="6">
        <v>781365</v>
      </c>
      <c r="L252" s="15">
        <v>19399.650000000001</v>
      </c>
      <c r="M252" s="15">
        <v>19399.650000000001</v>
      </c>
    </row>
    <row r="253" spans="1:13" x14ac:dyDescent="0.3">
      <c r="A253" s="14" t="s">
        <v>156</v>
      </c>
      <c r="B253" s="14" t="s">
        <v>156</v>
      </c>
      <c r="C253" s="12" t="s">
        <v>120</v>
      </c>
      <c r="D253" s="12" t="s">
        <v>120</v>
      </c>
      <c r="E253" s="14" t="s">
        <v>121</v>
      </c>
      <c r="F253" s="14" t="s">
        <v>121</v>
      </c>
      <c r="G253" s="14" t="s">
        <v>121</v>
      </c>
      <c r="H253" s="14" t="s">
        <v>121</v>
      </c>
      <c r="I253" s="7">
        <v>0.8</v>
      </c>
      <c r="J253" s="6">
        <v>14914414241</v>
      </c>
      <c r="K253" s="6">
        <v>137059</v>
      </c>
      <c r="L253" s="15">
        <v>108817.47</v>
      </c>
      <c r="M253" s="15">
        <v>108817.47</v>
      </c>
    </row>
    <row r="254" spans="1:13" x14ac:dyDescent="0.3">
      <c r="A254" s="14" t="s">
        <v>237</v>
      </c>
      <c r="B254" s="14" t="s">
        <v>237</v>
      </c>
      <c r="C254" s="12" t="s">
        <v>120</v>
      </c>
      <c r="D254" s="12" t="s">
        <v>120</v>
      </c>
      <c r="E254" s="14" t="s">
        <v>121</v>
      </c>
      <c r="F254" s="14" t="s">
        <v>121</v>
      </c>
      <c r="G254" s="14" t="s">
        <v>121</v>
      </c>
      <c r="H254" s="14" t="s">
        <v>121</v>
      </c>
      <c r="I254" s="7">
        <v>0.7</v>
      </c>
      <c r="J254" s="6">
        <v>14580558582</v>
      </c>
      <c r="K254" s="6">
        <v>97178</v>
      </c>
      <c r="L254" s="15">
        <v>150039.70000000001</v>
      </c>
      <c r="M254" s="15">
        <v>150039.70000000001</v>
      </c>
    </row>
    <row r="255" spans="1:13" x14ac:dyDescent="0.3">
      <c r="A255" s="14" t="s">
        <v>238</v>
      </c>
      <c r="B255" s="14" t="s">
        <v>238</v>
      </c>
      <c r="C255" s="12" t="s">
        <v>120</v>
      </c>
      <c r="D255" s="12" t="s">
        <v>120</v>
      </c>
      <c r="E255" s="14" t="s">
        <v>121</v>
      </c>
      <c r="F255" s="14" t="s">
        <v>121</v>
      </c>
      <c r="G255" s="14" t="s">
        <v>121</v>
      </c>
      <c r="H255" s="14" t="s">
        <v>121</v>
      </c>
      <c r="I255" s="7">
        <v>0.7</v>
      </c>
      <c r="J255" s="6">
        <v>13763777411</v>
      </c>
      <c r="K255" s="6">
        <v>111</v>
      </c>
      <c r="L255" s="15">
        <v>123997992</v>
      </c>
      <c r="M255" s="15">
        <v>123997992</v>
      </c>
    </row>
    <row r="256" spans="1:13" x14ac:dyDescent="0.3">
      <c r="A256" s="14" t="s">
        <v>172</v>
      </c>
      <c r="B256" s="14" t="s">
        <v>172</v>
      </c>
      <c r="C256" s="12" t="s">
        <v>120</v>
      </c>
      <c r="D256" s="12" t="s">
        <v>120</v>
      </c>
      <c r="E256" s="14" t="s">
        <v>121</v>
      </c>
      <c r="F256" s="14" t="s">
        <v>121</v>
      </c>
      <c r="G256" s="14" t="s">
        <v>121</v>
      </c>
      <c r="H256" s="14" t="s">
        <v>121</v>
      </c>
      <c r="I256" s="7">
        <v>0.7</v>
      </c>
      <c r="J256" s="6">
        <v>13252234105</v>
      </c>
      <c r="K256" s="6">
        <v>92276</v>
      </c>
      <c r="L256" s="15">
        <v>143615.19</v>
      </c>
      <c r="M256" s="15">
        <v>143615.19</v>
      </c>
    </row>
    <row r="257" spans="1:13" x14ac:dyDescent="0.3">
      <c r="A257" s="14" t="s">
        <v>135</v>
      </c>
      <c r="B257" s="14" t="s">
        <v>135</v>
      </c>
      <c r="C257" s="12" t="s">
        <v>120</v>
      </c>
      <c r="D257" s="12" t="s">
        <v>120</v>
      </c>
      <c r="E257" s="14" t="s">
        <v>127</v>
      </c>
      <c r="F257" s="14" t="s">
        <v>127</v>
      </c>
      <c r="G257" s="14" t="s">
        <v>127</v>
      </c>
      <c r="H257" s="14" t="s">
        <v>127</v>
      </c>
      <c r="I257" s="7">
        <v>0.6</v>
      </c>
      <c r="J257" s="6">
        <v>10989533818</v>
      </c>
      <c r="K257" s="6">
        <v>308077</v>
      </c>
      <c r="L257" s="15">
        <v>35671.39</v>
      </c>
      <c r="M257" s="15">
        <v>35671.39</v>
      </c>
    </row>
    <row r="258" spans="1:13" x14ac:dyDescent="0.3">
      <c r="A258" s="14" t="s">
        <v>239</v>
      </c>
      <c r="B258" s="14" t="s">
        <v>239</v>
      </c>
      <c r="C258" s="12" t="s">
        <v>120</v>
      </c>
      <c r="D258" s="12" t="s">
        <v>120</v>
      </c>
      <c r="E258" s="14" t="s">
        <v>121</v>
      </c>
      <c r="F258" s="14" t="s">
        <v>121</v>
      </c>
      <c r="G258" s="14" t="s">
        <v>121</v>
      </c>
      <c r="H258" s="14" t="s">
        <v>121</v>
      </c>
      <c r="I258" s="7">
        <v>0.6</v>
      </c>
      <c r="J258" s="6">
        <v>10732137556</v>
      </c>
      <c r="K258" s="6">
        <v>65206</v>
      </c>
      <c r="L258" s="15">
        <v>164588.19</v>
      </c>
      <c r="M258" s="15">
        <v>164588.19</v>
      </c>
    </row>
    <row r="259" spans="1:13" x14ac:dyDescent="0.3">
      <c r="A259" s="14" t="s">
        <v>240</v>
      </c>
      <c r="B259" s="14" t="s">
        <v>240</v>
      </c>
      <c r="C259" s="12" t="s">
        <v>120</v>
      </c>
      <c r="D259" s="12" t="s">
        <v>120</v>
      </c>
      <c r="E259" s="14" t="s">
        <v>121</v>
      </c>
      <c r="F259" s="14" t="s">
        <v>121</v>
      </c>
      <c r="G259" s="14" t="s">
        <v>121</v>
      </c>
      <c r="H259" s="14" t="s">
        <v>121</v>
      </c>
      <c r="I259" s="7">
        <v>0.6</v>
      </c>
      <c r="J259" s="6">
        <v>10726708085</v>
      </c>
      <c r="K259" s="6">
        <v>65147</v>
      </c>
      <c r="L259" s="15">
        <v>164653.9</v>
      </c>
      <c r="M259" s="15">
        <v>164653.9</v>
      </c>
    </row>
    <row r="260" spans="1:13" x14ac:dyDescent="0.3">
      <c r="A260" s="14" t="s">
        <v>142</v>
      </c>
      <c r="B260" s="14" t="s">
        <v>142</v>
      </c>
      <c r="C260" s="12" t="s">
        <v>120</v>
      </c>
      <c r="D260" s="12" t="s">
        <v>120</v>
      </c>
      <c r="E260" s="14" t="s">
        <v>134</v>
      </c>
      <c r="F260" s="14" t="s">
        <v>134</v>
      </c>
      <c r="G260" s="14" t="s">
        <v>134</v>
      </c>
      <c r="H260" s="14" t="s">
        <v>134</v>
      </c>
      <c r="I260" s="7">
        <v>0.5</v>
      </c>
      <c r="J260" s="6">
        <v>10641134610</v>
      </c>
      <c r="K260" s="6">
        <v>164052</v>
      </c>
      <c r="L260" s="15">
        <v>64864.4</v>
      </c>
      <c r="M260" s="15">
        <v>64864.4</v>
      </c>
    </row>
    <row r="261" spans="1:13" x14ac:dyDescent="0.3">
      <c r="A261" s="14" t="s">
        <v>158</v>
      </c>
      <c r="B261" s="14" t="s">
        <v>158</v>
      </c>
      <c r="C261" s="12" t="s">
        <v>120</v>
      </c>
      <c r="D261" s="12" t="s">
        <v>120</v>
      </c>
      <c r="E261" s="14" t="s">
        <v>127</v>
      </c>
      <c r="F261" s="14" t="s">
        <v>127</v>
      </c>
      <c r="G261" s="14" t="s">
        <v>127</v>
      </c>
      <c r="H261" s="14" t="s">
        <v>127</v>
      </c>
      <c r="I261" s="7">
        <v>0.5</v>
      </c>
      <c r="J261" s="6">
        <v>10476213965</v>
      </c>
      <c r="K261" s="6">
        <v>377104</v>
      </c>
      <c r="L261" s="15">
        <v>27780.7</v>
      </c>
      <c r="M261" s="15">
        <v>27780.7</v>
      </c>
    </row>
    <row r="262" spans="1:13" x14ac:dyDescent="0.3">
      <c r="A262" s="14" t="s">
        <v>241</v>
      </c>
      <c r="B262" s="14" t="s">
        <v>241</v>
      </c>
      <c r="C262" s="12" t="s">
        <v>120</v>
      </c>
      <c r="D262" s="12" t="s">
        <v>120</v>
      </c>
      <c r="E262" s="14" t="s">
        <v>242</v>
      </c>
      <c r="F262" s="14" t="s">
        <v>242</v>
      </c>
      <c r="G262" s="14" t="s">
        <v>242</v>
      </c>
      <c r="H262" s="14" t="s">
        <v>242</v>
      </c>
      <c r="I262" s="7">
        <v>0.5</v>
      </c>
      <c r="J262" s="6">
        <v>10473598023</v>
      </c>
      <c r="K262" s="6">
        <v>4484</v>
      </c>
      <c r="L262" s="15">
        <v>2335771.2000000002</v>
      </c>
      <c r="M262" s="15">
        <v>2335771.2000000002</v>
      </c>
    </row>
    <row r="263" spans="1:13" x14ac:dyDescent="0.3">
      <c r="A263" s="14" t="s">
        <v>157</v>
      </c>
      <c r="B263" s="14" t="s">
        <v>157</v>
      </c>
      <c r="C263" s="12" t="s">
        <v>120</v>
      </c>
      <c r="D263" s="12" t="s">
        <v>120</v>
      </c>
      <c r="E263" s="14" t="s">
        <v>155</v>
      </c>
      <c r="F263" s="14" t="s">
        <v>155</v>
      </c>
      <c r="G263" s="14" t="s">
        <v>155</v>
      </c>
      <c r="H263" s="14" t="s">
        <v>155</v>
      </c>
      <c r="I263" s="7">
        <v>0.5</v>
      </c>
      <c r="J263" s="6">
        <v>9465179588</v>
      </c>
      <c r="K263" s="6">
        <v>7041</v>
      </c>
      <c r="L263" s="15">
        <v>1344294.8</v>
      </c>
      <c r="M263" s="15">
        <v>1344294.8</v>
      </c>
    </row>
    <row r="264" spans="1:13" x14ac:dyDescent="0.3">
      <c r="A264" s="14" t="s">
        <v>159</v>
      </c>
      <c r="B264" s="14" t="s">
        <v>159</v>
      </c>
      <c r="C264" s="12" t="s">
        <v>148</v>
      </c>
      <c r="D264" s="12" t="s">
        <v>148</v>
      </c>
      <c r="E264" s="14" t="s">
        <v>121</v>
      </c>
      <c r="F264" s="14" t="s">
        <v>121</v>
      </c>
      <c r="G264" s="14" t="s">
        <v>121</v>
      </c>
      <c r="H264" s="14" t="s">
        <v>121</v>
      </c>
      <c r="I264" s="7">
        <v>0.5</v>
      </c>
      <c r="J264" s="6">
        <v>9142058748</v>
      </c>
      <c r="K264" s="6">
        <v>148234</v>
      </c>
      <c r="L264" s="15">
        <v>61673.16</v>
      </c>
      <c r="M264" s="15">
        <v>61673.16</v>
      </c>
    </row>
    <row r="265" spans="1:13" x14ac:dyDescent="0.3">
      <c r="A265" s="14" t="s">
        <v>243</v>
      </c>
      <c r="B265" s="14" t="s">
        <v>243</v>
      </c>
      <c r="C265" s="12" t="s">
        <v>120</v>
      </c>
      <c r="D265" s="12" t="s">
        <v>120</v>
      </c>
      <c r="E265" s="14" t="s">
        <v>121</v>
      </c>
      <c r="F265" s="14" t="s">
        <v>121</v>
      </c>
      <c r="G265" s="14" t="s">
        <v>121</v>
      </c>
      <c r="H265" s="14" t="s">
        <v>121</v>
      </c>
      <c r="I265" s="7">
        <v>0.5</v>
      </c>
      <c r="J265" s="6">
        <v>8967825143</v>
      </c>
      <c r="K265" s="6">
        <v>891</v>
      </c>
      <c r="L265" s="15">
        <v>10064899</v>
      </c>
      <c r="M265" s="15">
        <v>10064899</v>
      </c>
    </row>
    <row r="267" spans="1:13" ht="17.25" x14ac:dyDescent="0.3">
      <c r="A267" s="2" t="s">
        <v>244</v>
      </c>
    </row>
    <row r="268" spans="1:13" x14ac:dyDescent="0.3">
      <c r="A268" s="3" t="s">
        <v>245</v>
      </c>
    </row>
    <row r="269" spans="1:13" ht="50.1" customHeight="1" x14ac:dyDescent="0.3">
      <c r="A269" s="13" t="s">
        <v>110</v>
      </c>
      <c r="B269" s="13" t="s">
        <v>111</v>
      </c>
      <c r="C269" s="13" t="s">
        <v>112</v>
      </c>
      <c r="D269" s="13" t="s">
        <v>111</v>
      </c>
      <c r="E269" s="13" t="s">
        <v>113</v>
      </c>
      <c r="F269" s="13" t="s">
        <v>111</v>
      </c>
      <c r="G269" s="13" t="s">
        <v>114</v>
      </c>
      <c r="H269" s="13" t="s">
        <v>111</v>
      </c>
      <c r="I269" s="4" t="s">
        <v>246</v>
      </c>
      <c r="J269" s="4" t="s">
        <v>48</v>
      </c>
      <c r="K269" s="4" t="s">
        <v>117</v>
      </c>
      <c r="L269" s="13" t="s">
        <v>247</v>
      </c>
      <c r="M269" s="13" t="s">
        <v>111</v>
      </c>
    </row>
    <row r="270" spans="1:13" x14ac:dyDescent="0.3">
      <c r="A270" s="14" t="s">
        <v>248</v>
      </c>
      <c r="B270" s="14" t="s">
        <v>248</v>
      </c>
      <c r="C270" s="12" t="s">
        <v>120</v>
      </c>
      <c r="D270" s="12" t="s">
        <v>120</v>
      </c>
      <c r="E270" s="14" t="s">
        <v>242</v>
      </c>
      <c r="F270" s="14" t="s">
        <v>242</v>
      </c>
      <c r="G270" s="14" t="s">
        <v>242</v>
      </c>
      <c r="H270" s="14" t="s">
        <v>242</v>
      </c>
      <c r="I270" s="7">
        <v>6.5</v>
      </c>
      <c r="J270" s="6">
        <v>5146044049</v>
      </c>
      <c r="K270" s="6">
        <v>1364</v>
      </c>
      <c r="L270" s="15">
        <v>3772759.5</v>
      </c>
      <c r="M270" s="15">
        <v>3772759.5</v>
      </c>
    </row>
    <row r="271" spans="1:13" x14ac:dyDescent="0.3">
      <c r="A271" s="14" t="s">
        <v>119</v>
      </c>
      <c r="B271" s="14" t="s">
        <v>119</v>
      </c>
      <c r="C271" s="12" t="s">
        <v>120</v>
      </c>
      <c r="D271" s="12" t="s">
        <v>120</v>
      </c>
      <c r="E271" s="14" t="s">
        <v>121</v>
      </c>
      <c r="F271" s="14" t="s">
        <v>121</v>
      </c>
      <c r="G271" s="14" t="s">
        <v>121</v>
      </c>
      <c r="H271" s="14" t="s">
        <v>121</v>
      </c>
      <c r="I271" s="7">
        <v>5.8</v>
      </c>
      <c r="J271" s="6">
        <v>4595796835</v>
      </c>
      <c r="K271" s="6">
        <v>1325</v>
      </c>
      <c r="L271" s="15">
        <v>3468526</v>
      </c>
      <c r="M271" s="15">
        <v>3468526</v>
      </c>
    </row>
    <row r="272" spans="1:13" x14ac:dyDescent="0.3">
      <c r="A272" s="14" t="s">
        <v>249</v>
      </c>
      <c r="B272" s="14" t="s">
        <v>249</v>
      </c>
      <c r="C272" s="12" t="s">
        <v>120</v>
      </c>
      <c r="D272" s="12" t="s">
        <v>120</v>
      </c>
      <c r="E272" s="14" t="s">
        <v>129</v>
      </c>
      <c r="F272" s="14" t="s">
        <v>129</v>
      </c>
      <c r="G272" s="14" t="s">
        <v>111</v>
      </c>
      <c r="H272" s="14" t="s">
        <v>111</v>
      </c>
      <c r="I272" s="7">
        <v>4.0999999999999996</v>
      </c>
      <c r="J272" s="6">
        <v>3284712698</v>
      </c>
      <c r="K272" s="6">
        <v>6</v>
      </c>
      <c r="L272" s="15">
        <v>547452100</v>
      </c>
      <c r="M272" s="15">
        <v>547452100</v>
      </c>
    </row>
    <row r="273" spans="1:13" x14ac:dyDescent="0.3">
      <c r="A273" s="14" t="s">
        <v>250</v>
      </c>
      <c r="B273" s="14" t="s">
        <v>250</v>
      </c>
      <c r="C273" s="12" t="s">
        <v>120</v>
      </c>
      <c r="D273" s="12" t="s">
        <v>120</v>
      </c>
      <c r="E273" s="14" t="s">
        <v>121</v>
      </c>
      <c r="F273" s="14" t="s">
        <v>121</v>
      </c>
      <c r="G273" s="14" t="s">
        <v>121</v>
      </c>
      <c r="H273" s="14" t="s">
        <v>121</v>
      </c>
      <c r="I273" s="7">
        <v>2.9</v>
      </c>
      <c r="J273" s="6">
        <v>2320036890</v>
      </c>
      <c r="K273" s="6">
        <v>115213</v>
      </c>
      <c r="L273" s="15">
        <v>20136.939999999999</v>
      </c>
      <c r="M273" s="15">
        <v>20136.939999999999</v>
      </c>
    </row>
    <row r="274" spans="1:13" x14ac:dyDescent="0.3">
      <c r="A274" s="14" t="s">
        <v>251</v>
      </c>
      <c r="B274" s="14" t="s">
        <v>251</v>
      </c>
      <c r="C274" s="12" t="s">
        <v>120</v>
      </c>
      <c r="D274" s="12" t="s">
        <v>120</v>
      </c>
      <c r="E274" s="14" t="s">
        <v>137</v>
      </c>
      <c r="F274" s="14" t="s">
        <v>137</v>
      </c>
      <c r="G274" s="14" t="s">
        <v>137</v>
      </c>
      <c r="H274" s="14" t="s">
        <v>137</v>
      </c>
      <c r="I274" s="7">
        <v>1.6</v>
      </c>
      <c r="J274" s="6">
        <v>1254515776</v>
      </c>
      <c r="K274" s="6">
        <v>831</v>
      </c>
      <c r="L274" s="15">
        <v>1509646</v>
      </c>
      <c r="M274" s="15">
        <v>1509646</v>
      </c>
    </row>
    <row r="275" spans="1:13" x14ac:dyDescent="0.3">
      <c r="A275" s="14" t="s">
        <v>252</v>
      </c>
      <c r="B275" s="14" t="s">
        <v>252</v>
      </c>
      <c r="C275" s="12" t="s">
        <v>120</v>
      </c>
      <c r="D275" s="12" t="s">
        <v>120</v>
      </c>
      <c r="E275" s="14" t="s">
        <v>134</v>
      </c>
      <c r="F275" s="14" t="s">
        <v>134</v>
      </c>
      <c r="G275" s="14" t="s">
        <v>134</v>
      </c>
      <c r="H275" s="14" t="s">
        <v>134</v>
      </c>
      <c r="I275" s="7">
        <v>1.3</v>
      </c>
      <c r="J275" s="6">
        <v>1055144899</v>
      </c>
      <c r="K275" s="6">
        <v>6787</v>
      </c>
      <c r="L275" s="15">
        <v>155465.57999999999</v>
      </c>
      <c r="M275" s="15">
        <v>155465.57999999999</v>
      </c>
    </row>
    <row r="276" spans="1:13" x14ac:dyDescent="0.3">
      <c r="A276" s="14" t="s">
        <v>253</v>
      </c>
      <c r="B276" s="14" t="s">
        <v>253</v>
      </c>
      <c r="C276" s="12" t="s">
        <v>120</v>
      </c>
      <c r="D276" s="12" t="s">
        <v>120</v>
      </c>
      <c r="E276" s="14" t="s">
        <v>137</v>
      </c>
      <c r="F276" s="14" t="s">
        <v>137</v>
      </c>
      <c r="G276" s="14" t="s">
        <v>137</v>
      </c>
      <c r="H276" s="14" t="s">
        <v>137</v>
      </c>
      <c r="I276" s="7">
        <v>0.9</v>
      </c>
      <c r="J276" s="6">
        <v>679263303</v>
      </c>
      <c r="K276" s="6">
        <v>312</v>
      </c>
      <c r="L276" s="15">
        <v>2177126</v>
      </c>
      <c r="M276" s="15">
        <v>2177126</v>
      </c>
    </row>
    <row r="277" spans="1:13" x14ac:dyDescent="0.3">
      <c r="A277" s="14" t="s">
        <v>154</v>
      </c>
      <c r="B277" s="14" t="s">
        <v>154</v>
      </c>
      <c r="C277" s="12" t="s">
        <v>120</v>
      </c>
      <c r="D277" s="12" t="s">
        <v>120</v>
      </c>
      <c r="E277" s="14" t="s">
        <v>155</v>
      </c>
      <c r="F277" s="14" t="s">
        <v>155</v>
      </c>
      <c r="G277" s="14" t="s">
        <v>155</v>
      </c>
      <c r="H277" s="14" t="s">
        <v>155</v>
      </c>
      <c r="I277" s="7">
        <v>0.7</v>
      </c>
      <c r="J277" s="6">
        <v>523146833</v>
      </c>
      <c r="K277" s="6">
        <v>4698</v>
      </c>
      <c r="L277" s="15">
        <v>111355.22</v>
      </c>
      <c r="M277" s="15">
        <v>111355.22</v>
      </c>
    </row>
    <row r="278" spans="1:13" x14ac:dyDescent="0.3">
      <c r="A278" s="14" t="s">
        <v>136</v>
      </c>
      <c r="B278" s="14" t="s">
        <v>136</v>
      </c>
      <c r="C278" s="12" t="s">
        <v>120</v>
      </c>
      <c r="D278" s="12" t="s">
        <v>120</v>
      </c>
      <c r="E278" s="14" t="s">
        <v>137</v>
      </c>
      <c r="F278" s="14" t="s">
        <v>137</v>
      </c>
      <c r="G278" s="14" t="s">
        <v>137</v>
      </c>
      <c r="H278" s="14" t="s">
        <v>137</v>
      </c>
      <c r="I278" s="7">
        <v>0.6</v>
      </c>
      <c r="J278" s="6">
        <v>505121703</v>
      </c>
      <c r="K278" s="6">
        <v>8</v>
      </c>
      <c r="L278" s="15">
        <v>63140212</v>
      </c>
      <c r="M278" s="15">
        <v>63140212</v>
      </c>
    </row>
    <row r="279" spans="1:13" x14ac:dyDescent="0.3">
      <c r="A279" s="14" t="s">
        <v>249</v>
      </c>
      <c r="B279" s="14" t="s">
        <v>249</v>
      </c>
      <c r="C279" s="12" t="s">
        <v>120</v>
      </c>
      <c r="D279" s="12" t="s">
        <v>120</v>
      </c>
      <c r="E279" s="14" t="s">
        <v>129</v>
      </c>
      <c r="F279" s="14" t="s">
        <v>129</v>
      </c>
      <c r="G279" s="14" t="s">
        <v>129</v>
      </c>
      <c r="H279" s="14" t="s">
        <v>129</v>
      </c>
      <c r="I279" s="7">
        <v>0.6</v>
      </c>
      <c r="J279" s="6">
        <v>490482406</v>
      </c>
      <c r="K279" s="6">
        <v>10</v>
      </c>
      <c r="L279" s="15">
        <v>49048240</v>
      </c>
      <c r="M279" s="15">
        <v>49048240</v>
      </c>
    </row>
    <row r="280" spans="1:13" x14ac:dyDescent="0.3">
      <c r="A280" s="14" t="s">
        <v>254</v>
      </c>
      <c r="B280" s="14" t="s">
        <v>254</v>
      </c>
      <c r="C280" s="12" t="s">
        <v>120</v>
      </c>
      <c r="D280" s="12" t="s">
        <v>120</v>
      </c>
      <c r="E280" s="14" t="s">
        <v>137</v>
      </c>
      <c r="F280" s="14" t="s">
        <v>137</v>
      </c>
      <c r="G280" s="14" t="s">
        <v>137</v>
      </c>
      <c r="H280" s="14" t="s">
        <v>137</v>
      </c>
      <c r="I280" s="7">
        <v>0.6</v>
      </c>
      <c r="J280" s="6">
        <v>459616516</v>
      </c>
      <c r="K280" s="6">
        <v>108</v>
      </c>
      <c r="L280" s="15">
        <v>4255708.5</v>
      </c>
      <c r="M280" s="15">
        <v>4255708.5</v>
      </c>
    </row>
    <row r="281" spans="1:13" x14ac:dyDescent="0.3">
      <c r="A281" s="14" t="s">
        <v>243</v>
      </c>
      <c r="B281" s="14" t="s">
        <v>243</v>
      </c>
      <c r="C281" s="12" t="s">
        <v>120</v>
      </c>
      <c r="D281" s="12" t="s">
        <v>120</v>
      </c>
      <c r="E281" s="14" t="s">
        <v>121</v>
      </c>
      <c r="F281" s="14" t="s">
        <v>121</v>
      </c>
      <c r="G281" s="14" t="s">
        <v>121</v>
      </c>
      <c r="H281" s="14" t="s">
        <v>121</v>
      </c>
      <c r="I281" s="7">
        <v>0.5</v>
      </c>
      <c r="J281" s="6">
        <v>435431049</v>
      </c>
      <c r="K281" s="6">
        <v>891</v>
      </c>
      <c r="L281" s="15">
        <v>488699.28</v>
      </c>
      <c r="M281" s="15">
        <v>488699.28</v>
      </c>
    </row>
    <row r="282" spans="1:13" x14ac:dyDescent="0.3">
      <c r="A282" s="14" t="s">
        <v>255</v>
      </c>
      <c r="B282" s="14" t="s">
        <v>255</v>
      </c>
      <c r="C282" s="12" t="s">
        <v>120</v>
      </c>
      <c r="D282" s="12" t="s">
        <v>120</v>
      </c>
      <c r="E282" s="14" t="s">
        <v>121</v>
      </c>
      <c r="F282" s="14" t="s">
        <v>121</v>
      </c>
      <c r="G282" s="14" t="s">
        <v>111</v>
      </c>
      <c r="H282" s="14" t="s">
        <v>111</v>
      </c>
      <c r="I282" s="7">
        <v>0.5</v>
      </c>
      <c r="J282" s="6">
        <v>402088067</v>
      </c>
      <c r="K282" s="6">
        <v>3</v>
      </c>
      <c r="L282" s="15">
        <v>134029352</v>
      </c>
      <c r="M282" s="15">
        <v>134029352</v>
      </c>
    </row>
    <row r="283" spans="1:13" x14ac:dyDescent="0.3">
      <c r="A283" s="14" t="s">
        <v>256</v>
      </c>
      <c r="B283" s="14" t="s">
        <v>256</v>
      </c>
      <c r="C283" s="12" t="s">
        <v>120</v>
      </c>
      <c r="D283" s="12" t="s">
        <v>120</v>
      </c>
      <c r="E283" s="14" t="s">
        <v>127</v>
      </c>
      <c r="F283" s="14" t="s">
        <v>127</v>
      </c>
      <c r="G283" s="14" t="s">
        <v>127</v>
      </c>
      <c r="H283" s="14" t="s">
        <v>127</v>
      </c>
      <c r="I283" s="7">
        <v>0.5</v>
      </c>
      <c r="J283" s="6">
        <v>397597757</v>
      </c>
      <c r="K283" s="6">
        <v>296</v>
      </c>
      <c r="L283" s="15">
        <v>1343235.6</v>
      </c>
      <c r="M283" s="15">
        <v>1343235.6</v>
      </c>
    </row>
    <row r="284" spans="1:13" x14ac:dyDescent="0.3">
      <c r="A284" s="14" t="s">
        <v>157</v>
      </c>
      <c r="B284" s="14" t="s">
        <v>157</v>
      </c>
      <c r="C284" s="12" t="s">
        <v>120</v>
      </c>
      <c r="D284" s="12" t="s">
        <v>120</v>
      </c>
      <c r="E284" s="14" t="s">
        <v>155</v>
      </c>
      <c r="F284" s="14" t="s">
        <v>155</v>
      </c>
      <c r="G284" s="14" t="s">
        <v>155</v>
      </c>
      <c r="H284" s="14" t="s">
        <v>155</v>
      </c>
      <c r="I284" s="7">
        <v>0.5</v>
      </c>
      <c r="J284" s="6">
        <v>397039444</v>
      </c>
      <c r="K284" s="6">
        <v>7041</v>
      </c>
      <c r="L284" s="15">
        <v>56389.64</v>
      </c>
      <c r="M284" s="15">
        <v>56389.64</v>
      </c>
    </row>
    <row r="285" spans="1:13" x14ac:dyDescent="0.3">
      <c r="A285" s="14" t="s">
        <v>257</v>
      </c>
      <c r="B285" s="14" t="s">
        <v>257</v>
      </c>
      <c r="C285" s="12" t="s">
        <v>120</v>
      </c>
      <c r="D285" s="12" t="s">
        <v>120</v>
      </c>
      <c r="E285" s="14" t="s">
        <v>129</v>
      </c>
      <c r="F285" s="14" t="s">
        <v>129</v>
      </c>
      <c r="G285" s="14" t="s">
        <v>111</v>
      </c>
      <c r="H285" s="14" t="s">
        <v>111</v>
      </c>
      <c r="I285" s="7">
        <v>0.5</v>
      </c>
      <c r="J285" s="6">
        <v>372676020</v>
      </c>
      <c r="K285" s="6">
        <v>5</v>
      </c>
      <c r="L285" s="15">
        <v>74535200</v>
      </c>
      <c r="M285" s="15">
        <v>74535200</v>
      </c>
    </row>
    <row r="286" spans="1:13" x14ac:dyDescent="0.3">
      <c r="A286" s="14" t="s">
        <v>258</v>
      </c>
      <c r="B286" s="14" t="s">
        <v>258</v>
      </c>
      <c r="C286" s="12" t="s">
        <v>120</v>
      </c>
      <c r="D286" s="12" t="s">
        <v>120</v>
      </c>
      <c r="E286" s="14" t="s">
        <v>134</v>
      </c>
      <c r="F286" s="14" t="s">
        <v>134</v>
      </c>
      <c r="G286" s="14" t="s">
        <v>134</v>
      </c>
      <c r="H286" s="14" t="s">
        <v>134</v>
      </c>
      <c r="I286" s="7">
        <v>0.4</v>
      </c>
      <c r="J286" s="6">
        <v>337941498</v>
      </c>
      <c r="K286" s="6">
        <v>640</v>
      </c>
      <c r="L286" s="15">
        <v>528033.56000000006</v>
      </c>
      <c r="M286" s="15">
        <v>528033.56000000006</v>
      </c>
    </row>
    <row r="287" spans="1:13" x14ac:dyDescent="0.3">
      <c r="A287" s="14" t="s">
        <v>186</v>
      </c>
      <c r="B287" s="14" t="s">
        <v>186</v>
      </c>
      <c r="C287" s="12" t="s">
        <v>120</v>
      </c>
      <c r="D287" s="12" t="s">
        <v>120</v>
      </c>
      <c r="E287" s="14" t="s">
        <v>121</v>
      </c>
      <c r="F287" s="14" t="s">
        <v>121</v>
      </c>
      <c r="G287" s="14" t="s">
        <v>121</v>
      </c>
      <c r="H287" s="14" t="s">
        <v>121</v>
      </c>
      <c r="I287" s="7">
        <v>0.4</v>
      </c>
      <c r="J287" s="6">
        <v>333506565</v>
      </c>
      <c r="K287" s="6">
        <v>1558</v>
      </c>
      <c r="L287" s="15">
        <v>214060.7</v>
      </c>
      <c r="M287" s="15">
        <v>214060.7</v>
      </c>
    </row>
    <row r="288" spans="1:13" x14ac:dyDescent="0.3">
      <c r="A288" s="14" t="s">
        <v>196</v>
      </c>
      <c r="B288" s="14" t="s">
        <v>196</v>
      </c>
      <c r="C288" s="12" t="s">
        <v>120</v>
      </c>
      <c r="D288" s="12" t="s">
        <v>120</v>
      </c>
      <c r="E288" s="14" t="s">
        <v>121</v>
      </c>
      <c r="F288" s="14" t="s">
        <v>121</v>
      </c>
      <c r="G288" s="14" t="s">
        <v>121</v>
      </c>
      <c r="H288" s="14" t="s">
        <v>121</v>
      </c>
      <c r="I288" s="7">
        <v>0.4</v>
      </c>
      <c r="J288" s="6">
        <v>313322871</v>
      </c>
      <c r="K288" s="6">
        <v>13</v>
      </c>
      <c r="L288" s="15">
        <v>24101760</v>
      </c>
      <c r="M288" s="15">
        <v>24101760</v>
      </c>
    </row>
    <row r="289" spans="1:13" x14ac:dyDescent="0.3">
      <c r="A289" s="14" t="s">
        <v>259</v>
      </c>
      <c r="B289" s="14" t="s">
        <v>259</v>
      </c>
      <c r="C289" s="12" t="s">
        <v>120</v>
      </c>
      <c r="D289" s="12" t="s">
        <v>120</v>
      </c>
      <c r="E289" s="14" t="s">
        <v>129</v>
      </c>
      <c r="F289" s="14" t="s">
        <v>129</v>
      </c>
      <c r="G289" s="14" t="s">
        <v>111</v>
      </c>
      <c r="H289" s="14" t="s">
        <v>111</v>
      </c>
      <c r="I289" s="7">
        <v>0.4</v>
      </c>
      <c r="J289" s="6">
        <v>310406425</v>
      </c>
      <c r="K289" s="6">
        <v>3</v>
      </c>
      <c r="L289" s="15">
        <v>103468808</v>
      </c>
      <c r="M289" s="15">
        <v>103468808</v>
      </c>
    </row>
    <row r="290" spans="1:13" x14ac:dyDescent="0.3">
      <c r="A290" s="14" t="s">
        <v>255</v>
      </c>
      <c r="B290" s="14" t="s">
        <v>255</v>
      </c>
      <c r="C290" s="12" t="s">
        <v>120</v>
      </c>
      <c r="D290" s="12" t="s">
        <v>120</v>
      </c>
      <c r="E290" s="14" t="s">
        <v>121</v>
      </c>
      <c r="F290" s="14" t="s">
        <v>121</v>
      </c>
      <c r="G290" s="14" t="s">
        <v>121</v>
      </c>
      <c r="H290" s="14" t="s">
        <v>121</v>
      </c>
      <c r="I290" s="7">
        <v>0.4</v>
      </c>
      <c r="J290" s="6">
        <v>306422201</v>
      </c>
      <c r="K290" s="6">
        <v>41</v>
      </c>
      <c r="L290" s="15">
        <v>7473712</v>
      </c>
      <c r="M290" s="15">
        <v>7473712</v>
      </c>
    </row>
    <row r="291" spans="1:13" x14ac:dyDescent="0.3">
      <c r="A291" s="14" t="s">
        <v>260</v>
      </c>
      <c r="B291" s="14" t="s">
        <v>260</v>
      </c>
      <c r="C291" s="12" t="s">
        <v>120</v>
      </c>
      <c r="D291" s="12" t="s">
        <v>120</v>
      </c>
      <c r="E291" s="14" t="s">
        <v>137</v>
      </c>
      <c r="F291" s="14" t="s">
        <v>137</v>
      </c>
      <c r="G291" s="14" t="s">
        <v>137</v>
      </c>
      <c r="H291" s="14" t="s">
        <v>137</v>
      </c>
      <c r="I291" s="7">
        <v>0.4</v>
      </c>
      <c r="J291" s="6">
        <v>303437313</v>
      </c>
      <c r="K291" s="6">
        <v>61</v>
      </c>
      <c r="L291" s="15">
        <v>4974382</v>
      </c>
      <c r="M291" s="15">
        <v>4974382</v>
      </c>
    </row>
    <row r="292" spans="1:13" x14ac:dyDescent="0.3">
      <c r="A292" s="14" t="s">
        <v>261</v>
      </c>
      <c r="B292" s="14" t="s">
        <v>261</v>
      </c>
      <c r="C292" s="12" t="s">
        <v>262</v>
      </c>
      <c r="D292" s="12" t="s">
        <v>262</v>
      </c>
      <c r="E292" s="14" t="s">
        <v>263</v>
      </c>
      <c r="F292" s="14" t="s">
        <v>263</v>
      </c>
      <c r="G292" s="14" t="s">
        <v>111</v>
      </c>
      <c r="H292" s="14" t="s">
        <v>111</v>
      </c>
      <c r="I292" s="7">
        <v>0.4</v>
      </c>
      <c r="J292" s="6">
        <v>297882980</v>
      </c>
      <c r="K292" s="6">
        <v>1</v>
      </c>
      <c r="L292" s="15">
        <v>297882976</v>
      </c>
      <c r="M292" s="15">
        <v>297882976</v>
      </c>
    </row>
    <row r="293" spans="1:13" x14ac:dyDescent="0.3">
      <c r="A293" s="14" t="s">
        <v>197</v>
      </c>
      <c r="B293" s="14" t="s">
        <v>197</v>
      </c>
      <c r="C293" s="12" t="s">
        <v>161</v>
      </c>
      <c r="D293" s="12" t="s">
        <v>161</v>
      </c>
      <c r="E293" s="14" t="s">
        <v>198</v>
      </c>
      <c r="F293" s="14" t="s">
        <v>198</v>
      </c>
      <c r="G293" s="14" t="s">
        <v>199</v>
      </c>
      <c r="H293" s="14" t="s">
        <v>199</v>
      </c>
      <c r="I293" s="7">
        <v>0.3</v>
      </c>
      <c r="J293" s="6">
        <v>260101477</v>
      </c>
      <c r="K293" s="6">
        <v>633</v>
      </c>
      <c r="L293" s="15">
        <v>410902.8</v>
      </c>
      <c r="M293" s="15">
        <v>410902.8</v>
      </c>
    </row>
    <row r="294" spans="1:13" x14ac:dyDescent="0.3">
      <c r="A294" s="14" t="s">
        <v>264</v>
      </c>
      <c r="B294" s="14" t="s">
        <v>264</v>
      </c>
      <c r="C294" s="12" t="s">
        <v>120</v>
      </c>
      <c r="D294" s="12" t="s">
        <v>120</v>
      </c>
      <c r="E294" s="14" t="s">
        <v>121</v>
      </c>
      <c r="F294" s="14" t="s">
        <v>121</v>
      </c>
      <c r="G294" s="14" t="s">
        <v>121</v>
      </c>
      <c r="H294" s="14" t="s">
        <v>121</v>
      </c>
      <c r="I294" s="7">
        <v>0.3</v>
      </c>
      <c r="J294" s="6">
        <v>234752667</v>
      </c>
      <c r="K294" s="6">
        <v>27007</v>
      </c>
      <c r="L294" s="15">
        <v>8692.2900000000009</v>
      </c>
      <c r="M294" s="15">
        <v>8692.2900000000009</v>
      </c>
    </row>
    <row r="295" spans="1:13" x14ac:dyDescent="0.3">
      <c r="A295" s="14" t="s">
        <v>190</v>
      </c>
      <c r="B295" s="14" t="s">
        <v>190</v>
      </c>
      <c r="C295" s="12" t="s">
        <v>120</v>
      </c>
      <c r="D295" s="12" t="s">
        <v>120</v>
      </c>
      <c r="E295" s="14" t="s">
        <v>134</v>
      </c>
      <c r="F295" s="14" t="s">
        <v>134</v>
      </c>
      <c r="G295" s="14" t="s">
        <v>134</v>
      </c>
      <c r="H295" s="14" t="s">
        <v>134</v>
      </c>
      <c r="I295" s="7">
        <v>0.3</v>
      </c>
      <c r="J295" s="6">
        <v>228658644</v>
      </c>
      <c r="K295" s="6">
        <v>479</v>
      </c>
      <c r="L295" s="15">
        <v>477366.7</v>
      </c>
      <c r="M295" s="15">
        <v>477366.7</v>
      </c>
    </row>
    <row r="296" spans="1:13" x14ac:dyDescent="0.3">
      <c r="A296" s="14" t="s">
        <v>265</v>
      </c>
      <c r="B296" s="14" t="s">
        <v>265</v>
      </c>
      <c r="C296" s="12" t="s">
        <v>120</v>
      </c>
      <c r="D296" s="12" t="s">
        <v>120</v>
      </c>
      <c r="E296" s="14" t="s">
        <v>121</v>
      </c>
      <c r="F296" s="14" t="s">
        <v>121</v>
      </c>
      <c r="G296" s="14" t="s">
        <v>121</v>
      </c>
      <c r="H296" s="14" t="s">
        <v>121</v>
      </c>
      <c r="I296" s="7">
        <v>0.2</v>
      </c>
      <c r="J296" s="6">
        <v>172849582</v>
      </c>
      <c r="K296" s="6">
        <v>17</v>
      </c>
      <c r="L296" s="15">
        <v>10167622</v>
      </c>
      <c r="M296" s="15">
        <v>10167622</v>
      </c>
    </row>
    <row r="297" spans="1:13" x14ac:dyDescent="0.3">
      <c r="A297" s="14" t="s">
        <v>186</v>
      </c>
      <c r="B297" s="14" t="s">
        <v>186</v>
      </c>
      <c r="C297" s="12" t="s">
        <v>120</v>
      </c>
      <c r="D297" s="12" t="s">
        <v>120</v>
      </c>
      <c r="E297" s="14" t="s">
        <v>121</v>
      </c>
      <c r="F297" s="14" t="s">
        <v>121</v>
      </c>
      <c r="G297" s="14" t="s">
        <v>111</v>
      </c>
      <c r="H297" s="14" t="s">
        <v>111</v>
      </c>
      <c r="I297" s="7">
        <v>0.2</v>
      </c>
      <c r="J297" s="6">
        <v>162891706</v>
      </c>
      <c r="K297" s="6">
        <v>2</v>
      </c>
      <c r="L297" s="15">
        <v>81445856</v>
      </c>
      <c r="M297" s="15">
        <v>81445856</v>
      </c>
    </row>
    <row r="298" spans="1:13" x14ac:dyDescent="0.3">
      <c r="A298" s="14" t="s">
        <v>187</v>
      </c>
      <c r="B298" s="14" t="s">
        <v>187</v>
      </c>
      <c r="C298" s="12" t="s">
        <v>120</v>
      </c>
      <c r="D298" s="12" t="s">
        <v>120</v>
      </c>
      <c r="E298" s="14" t="s">
        <v>134</v>
      </c>
      <c r="F298" s="14" t="s">
        <v>134</v>
      </c>
      <c r="G298" s="14" t="s">
        <v>134</v>
      </c>
      <c r="H298" s="14" t="s">
        <v>134</v>
      </c>
      <c r="I298" s="7">
        <v>0.2</v>
      </c>
      <c r="J298" s="6">
        <v>162352106</v>
      </c>
      <c r="K298" s="6">
        <v>192</v>
      </c>
      <c r="L298" s="15">
        <v>845583.9</v>
      </c>
      <c r="M298" s="15">
        <v>845583.9</v>
      </c>
    </row>
    <row r="299" spans="1:13" x14ac:dyDescent="0.3">
      <c r="A299" s="14" t="s">
        <v>266</v>
      </c>
      <c r="B299" s="14" t="s">
        <v>266</v>
      </c>
      <c r="C299" s="12" t="s">
        <v>120</v>
      </c>
      <c r="D299" s="12" t="s">
        <v>120</v>
      </c>
      <c r="E299" s="14" t="s">
        <v>121</v>
      </c>
      <c r="F299" s="14" t="s">
        <v>121</v>
      </c>
      <c r="G299" s="14" t="s">
        <v>121</v>
      </c>
      <c r="H299" s="14" t="s">
        <v>121</v>
      </c>
      <c r="I299" s="7">
        <v>0.2</v>
      </c>
      <c r="J299" s="6">
        <v>153243362</v>
      </c>
      <c r="K299" s="6">
        <v>265</v>
      </c>
      <c r="L299" s="15">
        <v>578276.80000000005</v>
      </c>
      <c r="M299" s="15">
        <v>578276.80000000005</v>
      </c>
    </row>
    <row r="301" spans="1:13" ht="26.25" x14ac:dyDescent="0.5">
      <c r="A301" s="1" t="s">
        <v>267</v>
      </c>
    </row>
    <row r="302" spans="1:13" ht="50.1" customHeight="1" x14ac:dyDescent="0.3">
      <c r="A302" s="16" t="s">
        <v>110</v>
      </c>
      <c r="B302" s="16" t="s">
        <v>111</v>
      </c>
      <c r="C302" s="16" t="s">
        <v>111</v>
      </c>
      <c r="D302" s="16" t="s">
        <v>268</v>
      </c>
      <c r="E302" s="16" t="s">
        <v>111</v>
      </c>
      <c r="F302" s="16" t="s">
        <v>111</v>
      </c>
      <c r="G302" s="16" t="s">
        <v>111</v>
      </c>
      <c r="H302" s="16" t="s">
        <v>111</v>
      </c>
      <c r="I302" s="16" t="s">
        <v>111</v>
      </c>
      <c r="J302" s="16" t="s">
        <v>111</v>
      </c>
      <c r="K302" s="16" t="s">
        <v>111</v>
      </c>
      <c r="L302" s="16" t="s">
        <v>111</v>
      </c>
      <c r="M302" s="16" t="s">
        <v>111</v>
      </c>
    </row>
    <row r="303" spans="1:13" ht="50.1" customHeight="1" x14ac:dyDescent="0.3">
      <c r="A303" s="17" t="s">
        <v>119</v>
      </c>
      <c r="B303" s="17" t="s">
        <v>119</v>
      </c>
      <c r="C303" s="17" t="s">
        <v>119</v>
      </c>
      <c r="D303" s="17" t="s">
        <v>269</v>
      </c>
      <c r="E303" s="17" t="s">
        <v>269</v>
      </c>
      <c r="F303" s="17" t="s">
        <v>269</v>
      </c>
      <c r="G303" s="17" t="s">
        <v>269</v>
      </c>
      <c r="H303" s="17" t="s">
        <v>269</v>
      </c>
      <c r="I303" s="17" t="s">
        <v>269</v>
      </c>
      <c r="J303" s="17" t="s">
        <v>269</v>
      </c>
      <c r="K303" s="17" t="s">
        <v>269</v>
      </c>
      <c r="L303" s="17" t="s">
        <v>269</v>
      </c>
      <c r="M303" s="17" t="s">
        <v>269</v>
      </c>
    </row>
    <row r="304" spans="1:13" ht="50.1" customHeight="1" x14ac:dyDescent="0.3">
      <c r="A304" s="17" t="s">
        <v>122</v>
      </c>
      <c r="B304" s="17" t="s">
        <v>122</v>
      </c>
      <c r="C304" s="17" t="s">
        <v>122</v>
      </c>
      <c r="D304" s="17" t="s">
        <v>270</v>
      </c>
      <c r="E304" s="17" t="s">
        <v>270</v>
      </c>
      <c r="F304" s="17" t="s">
        <v>270</v>
      </c>
      <c r="G304" s="17" t="s">
        <v>270</v>
      </c>
      <c r="H304" s="17" t="s">
        <v>270</v>
      </c>
      <c r="I304" s="17" t="s">
        <v>270</v>
      </c>
      <c r="J304" s="17" t="s">
        <v>270</v>
      </c>
      <c r="K304" s="17" t="s">
        <v>270</v>
      </c>
      <c r="L304" s="17" t="s">
        <v>270</v>
      </c>
      <c r="M304" s="17" t="s">
        <v>270</v>
      </c>
    </row>
    <row r="305" spans="1:13" ht="50.1" customHeight="1" x14ac:dyDescent="0.3">
      <c r="A305" s="17" t="s">
        <v>126</v>
      </c>
      <c r="B305" s="17" t="s">
        <v>126</v>
      </c>
      <c r="C305" s="17" t="s">
        <v>126</v>
      </c>
      <c r="D305" s="17" t="s">
        <v>271</v>
      </c>
      <c r="E305" s="17" t="s">
        <v>271</v>
      </c>
      <c r="F305" s="17" t="s">
        <v>271</v>
      </c>
      <c r="G305" s="17" t="s">
        <v>271</v>
      </c>
      <c r="H305" s="17" t="s">
        <v>271</v>
      </c>
      <c r="I305" s="17" t="s">
        <v>271</v>
      </c>
      <c r="J305" s="17" t="s">
        <v>271</v>
      </c>
      <c r="K305" s="17" t="s">
        <v>271</v>
      </c>
      <c r="L305" s="17" t="s">
        <v>271</v>
      </c>
      <c r="M305" s="17" t="s">
        <v>271</v>
      </c>
    </row>
    <row r="306" spans="1:13" ht="50.1" customHeight="1" x14ac:dyDescent="0.3">
      <c r="A306" s="17" t="s">
        <v>128</v>
      </c>
      <c r="B306" s="17" t="s">
        <v>128</v>
      </c>
      <c r="C306" s="17" t="s">
        <v>128</v>
      </c>
      <c r="D306" s="17" t="s">
        <v>272</v>
      </c>
      <c r="E306" s="17" t="s">
        <v>272</v>
      </c>
      <c r="F306" s="17" t="s">
        <v>272</v>
      </c>
      <c r="G306" s="17" t="s">
        <v>272</v>
      </c>
      <c r="H306" s="17" t="s">
        <v>272</v>
      </c>
      <c r="I306" s="17" t="s">
        <v>272</v>
      </c>
      <c r="J306" s="17" t="s">
        <v>272</v>
      </c>
      <c r="K306" s="17" t="s">
        <v>272</v>
      </c>
      <c r="L306" s="17" t="s">
        <v>272</v>
      </c>
      <c r="M306" s="17" t="s">
        <v>272</v>
      </c>
    </row>
    <row r="307" spans="1:13" ht="50.1" customHeight="1" x14ac:dyDescent="0.3">
      <c r="A307" s="17" t="s">
        <v>130</v>
      </c>
      <c r="B307" s="17" t="s">
        <v>130</v>
      </c>
      <c r="C307" s="17" t="s">
        <v>130</v>
      </c>
      <c r="D307" s="17" t="s">
        <v>273</v>
      </c>
      <c r="E307" s="17" t="s">
        <v>273</v>
      </c>
      <c r="F307" s="17" t="s">
        <v>273</v>
      </c>
      <c r="G307" s="17" t="s">
        <v>273</v>
      </c>
      <c r="H307" s="17" t="s">
        <v>273</v>
      </c>
      <c r="I307" s="17" t="s">
        <v>273</v>
      </c>
      <c r="J307" s="17" t="s">
        <v>273</v>
      </c>
      <c r="K307" s="17" t="s">
        <v>273</v>
      </c>
      <c r="L307" s="17" t="s">
        <v>273</v>
      </c>
      <c r="M307" s="17" t="s">
        <v>273</v>
      </c>
    </row>
    <row r="308" spans="1:13" ht="50.1" customHeight="1" x14ac:dyDescent="0.3">
      <c r="A308" s="17" t="s">
        <v>131</v>
      </c>
      <c r="B308" s="17" t="s">
        <v>131</v>
      </c>
      <c r="C308" s="17" t="s">
        <v>131</v>
      </c>
      <c r="D308" s="17" t="s">
        <v>274</v>
      </c>
      <c r="E308" s="17" t="s">
        <v>274</v>
      </c>
      <c r="F308" s="17" t="s">
        <v>274</v>
      </c>
      <c r="G308" s="17" t="s">
        <v>274</v>
      </c>
      <c r="H308" s="17" t="s">
        <v>274</v>
      </c>
      <c r="I308" s="17" t="s">
        <v>274</v>
      </c>
      <c r="J308" s="17" t="s">
        <v>274</v>
      </c>
      <c r="K308" s="17" t="s">
        <v>274</v>
      </c>
      <c r="L308" s="17" t="s">
        <v>274</v>
      </c>
      <c r="M308" s="17" t="s">
        <v>274</v>
      </c>
    </row>
    <row r="309" spans="1:13" ht="50.1" customHeight="1" x14ac:dyDescent="0.3">
      <c r="A309" s="17" t="s">
        <v>133</v>
      </c>
      <c r="B309" s="17" t="s">
        <v>133</v>
      </c>
      <c r="C309" s="17" t="s">
        <v>133</v>
      </c>
      <c r="D309" s="17" t="s">
        <v>275</v>
      </c>
      <c r="E309" s="17" t="s">
        <v>275</v>
      </c>
      <c r="F309" s="17" t="s">
        <v>275</v>
      </c>
      <c r="G309" s="17" t="s">
        <v>275</v>
      </c>
      <c r="H309" s="17" t="s">
        <v>275</v>
      </c>
      <c r="I309" s="17" t="s">
        <v>275</v>
      </c>
      <c r="J309" s="17" t="s">
        <v>275</v>
      </c>
      <c r="K309" s="17" t="s">
        <v>275</v>
      </c>
      <c r="L309" s="17" t="s">
        <v>275</v>
      </c>
      <c r="M309" s="17" t="s">
        <v>275</v>
      </c>
    </row>
    <row r="310" spans="1:13" ht="50.1" customHeight="1" x14ac:dyDescent="0.3">
      <c r="A310" s="17" t="s">
        <v>135</v>
      </c>
      <c r="B310" s="17" t="s">
        <v>135</v>
      </c>
      <c r="C310" s="17" t="s">
        <v>135</v>
      </c>
      <c r="D310" s="17" t="s">
        <v>276</v>
      </c>
      <c r="E310" s="17" t="s">
        <v>276</v>
      </c>
      <c r="F310" s="17" t="s">
        <v>276</v>
      </c>
      <c r="G310" s="17" t="s">
        <v>276</v>
      </c>
      <c r="H310" s="17" t="s">
        <v>276</v>
      </c>
      <c r="I310" s="17" t="s">
        <v>276</v>
      </c>
      <c r="J310" s="17" t="s">
        <v>276</v>
      </c>
      <c r="K310" s="17" t="s">
        <v>276</v>
      </c>
      <c r="L310" s="17" t="s">
        <v>276</v>
      </c>
      <c r="M310" s="17" t="s">
        <v>276</v>
      </c>
    </row>
    <row r="311" spans="1:13" ht="50.1" customHeight="1" x14ac:dyDescent="0.3">
      <c r="A311" s="17" t="s">
        <v>136</v>
      </c>
      <c r="B311" s="17" t="s">
        <v>136</v>
      </c>
      <c r="C311" s="17" t="s">
        <v>136</v>
      </c>
      <c r="D311" s="17" t="s">
        <v>277</v>
      </c>
      <c r="E311" s="17" t="s">
        <v>277</v>
      </c>
      <c r="F311" s="17" t="s">
        <v>277</v>
      </c>
      <c r="G311" s="17" t="s">
        <v>277</v>
      </c>
      <c r="H311" s="17" t="s">
        <v>277</v>
      </c>
      <c r="I311" s="17" t="s">
        <v>277</v>
      </c>
      <c r="J311" s="17" t="s">
        <v>277</v>
      </c>
      <c r="K311" s="17" t="s">
        <v>277</v>
      </c>
      <c r="L311" s="17" t="s">
        <v>277</v>
      </c>
      <c r="M311" s="17" t="s">
        <v>277</v>
      </c>
    </row>
    <row r="312" spans="1:13" ht="50.1" customHeight="1" x14ac:dyDescent="0.3">
      <c r="A312" s="17" t="s">
        <v>138</v>
      </c>
      <c r="B312" s="17" t="s">
        <v>138</v>
      </c>
      <c r="C312" s="17" t="s">
        <v>138</v>
      </c>
      <c r="D312" s="17" t="s">
        <v>278</v>
      </c>
      <c r="E312" s="17" t="s">
        <v>278</v>
      </c>
      <c r="F312" s="17" t="s">
        <v>278</v>
      </c>
      <c r="G312" s="17" t="s">
        <v>278</v>
      </c>
      <c r="H312" s="17" t="s">
        <v>278</v>
      </c>
      <c r="I312" s="17" t="s">
        <v>278</v>
      </c>
      <c r="J312" s="17" t="s">
        <v>278</v>
      </c>
      <c r="K312" s="17" t="s">
        <v>278</v>
      </c>
      <c r="L312" s="17" t="s">
        <v>278</v>
      </c>
      <c r="M312" s="17" t="s">
        <v>278</v>
      </c>
    </row>
    <row r="313" spans="1:13" ht="50.1" customHeight="1" x14ac:dyDescent="0.3">
      <c r="A313" s="17" t="s">
        <v>139</v>
      </c>
      <c r="B313" s="17" t="s">
        <v>139</v>
      </c>
      <c r="C313" s="17" t="s">
        <v>139</v>
      </c>
      <c r="D313" s="17" t="s">
        <v>279</v>
      </c>
      <c r="E313" s="17" t="s">
        <v>279</v>
      </c>
      <c r="F313" s="17" t="s">
        <v>279</v>
      </c>
      <c r="G313" s="17" t="s">
        <v>279</v>
      </c>
      <c r="H313" s="17" t="s">
        <v>279</v>
      </c>
      <c r="I313" s="17" t="s">
        <v>279</v>
      </c>
      <c r="J313" s="17" t="s">
        <v>279</v>
      </c>
      <c r="K313" s="17" t="s">
        <v>279</v>
      </c>
      <c r="L313" s="17" t="s">
        <v>279</v>
      </c>
      <c r="M313" s="17" t="s">
        <v>279</v>
      </c>
    </row>
    <row r="314" spans="1:13" ht="50.1" customHeight="1" x14ac:dyDescent="0.3">
      <c r="A314" s="17" t="s">
        <v>141</v>
      </c>
      <c r="B314" s="17" t="s">
        <v>141</v>
      </c>
      <c r="C314" s="17" t="s">
        <v>141</v>
      </c>
      <c r="D314" s="17" t="s">
        <v>280</v>
      </c>
      <c r="E314" s="17" t="s">
        <v>280</v>
      </c>
      <c r="F314" s="17" t="s">
        <v>280</v>
      </c>
      <c r="G314" s="17" t="s">
        <v>280</v>
      </c>
      <c r="H314" s="17" t="s">
        <v>280</v>
      </c>
      <c r="I314" s="17" t="s">
        <v>280</v>
      </c>
      <c r="J314" s="17" t="s">
        <v>280</v>
      </c>
      <c r="K314" s="17" t="s">
        <v>280</v>
      </c>
      <c r="L314" s="17" t="s">
        <v>280</v>
      </c>
      <c r="M314" s="17" t="s">
        <v>280</v>
      </c>
    </row>
    <row r="315" spans="1:13" ht="50.1" customHeight="1" x14ac:dyDescent="0.3">
      <c r="A315" s="17" t="s">
        <v>142</v>
      </c>
      <c r="B315" s="17" t="s">
        <v>142</v>
      </c>
      <c r="C315" s="17" t="s">
        <v>142</v>
      </c>
      <c r="D315" s="17" t="s">
        <v>281</v>
      </c>
      <c r="E315" s="17" t="s">
        <v>281</v>
      </c>
      <c r="F315" s="17" t="s">
        <v>281</v>
      </c>
      <c r="G315" s="17" t="s">
        <v>281</v>
      </c>
      <c r="H315" s="17" t="s">
        <v>281</v>
      </c>
      <c r="I315" s="17" t="s">
        <v>281</v>
      </c>
      <c r="J315" s="17" t="s">
        <v>281</v>
      </c>
      <c r="K315" s="17" t="s">
        <v>281</v>
      </c>
      <c r="L315" s="17" t="s">
        <v>281</v>
      </c>
      <c r="M315" s="17" t="s">
        <v>281</v>
      </c>
    </row>
    <row r="316" spans="1:13" ht="50.1" customHeight="1" x14ac:dyDescent="0.3">
      <c r="A316" s="17" t="s">
        <v>143</v>
      </c>
      <c r="B316" s="17" t="s">
        <v>143</v>
      </c>
      <c r="C316" s="17" t="s">
        <v>143</v>
      </c>
      <c r="D316" s="17" t="s">
        <v>282</v>
      </c>
      <c r="E316" s="17" t="s">
        <v>282</v>
      </c>
      <c r="F316" s="17" t="s">
        <v>282</v>
      </c>
      <c r="G316" s="17" t="s">
        <v>282</v>
      </c>
      <c r="H316" s="17" t="s">
        <v>282</v>
      </c>
      <c r="I316" s="17" t="s">
        <v>282</v>
      </c>
      <c r="J316" s="17" t="s">
        <v>282</v>
      </c>
      <c r="K316" s="17" t="s">
        <v>282</v>
      </c>
      <c r="L316" s="17" t="s">
        <v>282</v>
      </c>
      <c r="M316" s="17" t="s">
        <v>282</v>
      </c>
    </row>
    <row r="317" spans="1:13" ht="50.1" customHeight="1" x14ac:dyDescent="0.3">
      <c r="A317" s="17" t="s">
        <v>144</v>
      </c>
      <c r="B317" s="17" t="s">
        <v>144</v>
      </c>
      <c r="C317" s="17" t="s">
        <v>144</v>
      </c>
      <c r="D317" s="17" t="s">
        <v>283</v>
      </c>
      <c r="E317" s="17" t="s">
        <v>283</v>
      </c>
      <c r="F317" s="17" t="s">
        <v>283</v>
      </c>
      <c r="G317" s="17" t="s">
        <v>283</v>
      </c>
      <c r="H317" s="17" t="s">
        <v>283</v>
      </c>
      <c r="I317" s="17" t="s">
        <v>283</v>
      </c>
      <c r="J317" s="17" t="s">
        <v>283</v>
      </c>
      <c r="K317" s="17" t="s">
        <v>283</v>
      </c>
      <c r="L317" s="17" t="s">
        <v>283</v>
      </c>
      <c r="M317" s="17" t="s">
        <v>283</v>
      </c>
    </row>
    <row r="318" spans="1:13" ht="50.1" customHeight="1" x14ac:dyDescent="0.3">
      <c r="A318" s="17" t="s">
        <v>146</v>
      </c>
      <c r="B318" s="17" t="s">
        <v>146</v>
      </c>
      <c r="C318" s="17" t="s">
        <v>146</v>
      </c>
      <c r="D318" s="17" t="s">
        <v>284</v>
      </c>
      <c r="E318" s="17" t="s">
        <v>284</v>
      </c>
      <c r="F318" s="17" t="s">
        <v>284</v>
      </c>
      <c r="G318" s="17" t="s">
        <v>284</v>
      </c>
      <c r="H318" s="17" t="s">
        <v>284</v>
      </c>
      <c r="I318" s="17" t="s">
        <v>284</v>
      </c>
      <c r="J318" s="17" t="s">
        <v>284</v>
      </c>
      <c r="K318" s="17" t="s">
        <v>284</v>
      </c>
      <c r="L318" s="17" t="s">
        <v>284</v>
      </c>
      <c r="M318" s="17" t="s">
        <v>284</v>
      </c>
    </row>
    <row r="319" spans="1:13" ht="50.1" customHeight="1" x14ac:dyDescent="0.3">
      <c r="A319" s="17" t="s">
        <v>147</v>
      </c>
      <c r="B319" s="17" t="s">
        <v>147</v>
      </c>
      <c r="C319" s="17" t="s">
        <v>147</v>
      </c>
      <c r="D319" s="17" t="s">
        <v>272</v>
      </c>
      <c r="E319" s="17" t="s">
        <v>272</v>
      </c>
      <c r="F319" s="17" t="s">
        <v>272</v>
      </c>
      <c r="G319" s="17" t="s">
        <v>272</v>
      </c>
      <c r="H319" s="17" t="s">
        <v>272</v>
      </c>
      <c r="I319" s="17" t="s">
        <v>272</v>
      </c>
      <c r="J319" s="17" t="s">
        <v>272</v>
      </c>
      <c r="K319" s="17" t="s">
        <v>272</v>
      </c>
      <c r="L319" s="17" t="s">
        <v>272</v>
      </c>
      <c r="M319" s="17" t="s">
        <v>272</v>
      </c>
    </row>
    <row r="320" spans="1:13" ht="50.1" customHeight="1" x14ac:dyDescent="0.3">
      <c r="A320" s="17" t="s">
        <v>149</v>
      </c>
      <c r="B320" s="17" t="s">
        <v>149</v>
      </c>
      <c r="C320" s="17" t="s">
        <v>149</v>
      </c>
      <c r="D320" s="17" t="s">
        <v>285</v>
      </c>
      <c r="E320" s="17" t="s">
        <v>285</v>
      </c>
      <c r="F320" s="17" t="s">
        <v>285</v>
      </c>
      <c r="G320" s="17" t="s">
        <v>285</v>
      </c>
      <c r="H320" s="17" t="s">
        <v>285</v>
      </c>
      <c r="I320" s="17" t="s">
        <v>285</v>
      </c>
      <c r="J320" s="17" t="s">
        <v>285</v>
      </c>
      <c r="K320" s="17" t="s">
        <v>285</v>
      </c>
      <c r="L320" s="17" t="s">
        <v>285</v>
      </c>
      <c r="M320" s="17" t="s">
        <v>285</v>
      </c>
    </row>
    <row r="321" spans="1:13" ht="50.1" customHeight="1" x14ac:dyDescent="0.3">
      <c r="A321" s="17" t="s">
        <v>152</v>
      </c>
      <c r="B321" s="17" t="s">
        <v>152</v>
      </c>
      <c r="C321" s="17" t="s">
        <v>152</v>
      </c>
      <c r="D321" s="17" t="s">
        <v>286</v>
      </c>
      <c r="E321" s="17" t="s">
        <v>286</v>
      </c>
      <c r="F321" s="17" t="s">
        <v>286</v>
      </c>
      <c r="G321" s="17" t="s">
        <v>286</v>
      </c>
      <c r="H321" s="17" t="s">
        <v>286</v>
      </c>
      <c r="I321" s="17" t="s">
        <v>286</v>
      </c>
      <c r="J321" s="17" t="s">
        <v>286</v>
      </c>
      <c r="K321" s="17" t="s">
        <v>286</v>
      </c>
      <c r="L321" s="17" t="s">
        <v>286</v>
      </c>
      <c r="M321" s="17" t="s">
        <v>286</v>
      </c>
    </row>
    <row r="322" spans="1:13" ht="50.1" customHeight="1" x14ac:dyDescent="0.3">
      <c r="A322" s="17" t="s">
        <v>153</v>
      </c>
      <c r="B322" s="17" t="s">
        <v>153</v>
      </c>
      <c r="C322" s="17" t="s">
        <v>153</v>
      </c>
      <c r="D322" s="17" t="s">
        <v>287</v>
      </c>
      <c r="E322" s="17" t="s">
        <v>287</v>
      </c>
      <c r="F322" s="17" t="s">
        <v>287</v>
      </c>
      <c r="G322" s="17" t="s">
        <v>287</v>
      </c>
      <c r="H322" s="17" t="s">
        <v>287</v>
      </c>
      <c r="I322" s="17" t="s">
        <v>287</v>
      </c>
      <c r="J322" s="17" t="s">
        <v>287</v>
      </c>
      <c r="K322" s="17" t="s">
        <v>287</v>
      </c>
      <c r="L322" s="17" t="s">
        <v>287</v>
      </c>
      <c r="M322" s="17" t="s">
        <v>287</v>
      </c>
    </row>
    <row r="323" spans="1:13" ht="50.1" customHeight="1" x14ac:dyDescent="0.3">
      <c r="A323" s="17" t="s">
        <v>154</v>
      </c>
      <c r="B323" s="17" t="s">
        <v>154</v>
      </c>
      <c r="C323" s="17" t="s">
        <v>154</v>
      </c>
      <c r="D323" s="17" t="s">
        <v>288</v>
      </c>
      <c r="E323" s="17" t="s">
        <v>288</v>
      </c>
      <c r="F323" s="17" t="s">
        <v>288</v>
      </c>
      <c r="G323" s="17" t="s">
        <v>288</v>
      </c>
      <c r="H323" s="17" t="s">
        <v>288</v>
      </c>
      <c r="I323" s="17" t="s">
        <v>288</v>
      </c>
      <c r="J323" s="17" t="s">
        <v>288</v>
      </c>
      <c r="K323" s="17" t="s">
        <v>288</v>
      </c>
      <c r="L323" s="17" t="s">
        <v>288</v>
      </c>
      <c r="M323" s="17" t="s">
        <v>288</v>
      </c>
    </row>
    <row r="324" spans="1:13" ht="50.1" customHeight="1" x14ac:dyDescent="0.3">
      <c r="A324" s="17" t="s">
        <v>156</v>
      </c>
      <c r="B324" s="17" t="s">
        <v>156</v>
      </c>
      <c r="C324" s="17" t="s">
        <v>156</v>
      </c>
      <c r="D324" s="17" t="s">
        <v>289</v>
      </c>
      <c r="E324" s="17" t="s">
        <v>289</v>
      </c>
      <c r="F324" s="17" t="s">
        <v>289</v>
      </c>
      <c r="G324" s="17" t="s">
        <v>289</v>
      </c>
      <c r="H324" s="17" t="s">
        <v>289</v>
      </c>
      <c r="I324" s="17" t="s">
        <v>289</v>
      </c>
      <c r="J324" s="17" t="s">
        <v>289</v>
      </c>
      <c r="K324" s="17" t="s">
        <v>289</v>
      </c>
      <c r="L324" s="17" t="s">
        <v>289</v>
      </c>
      <c r="M324" s="17" t="s">
        <v>289</v>
      </c>
    </row>
    <row r="325" spans="1:13" ht="50.1" customHeight="1" x14ac:dyDescent="0.3">
      <c r="A325" s="17" t="s">
        <v>157</v>
      </c>
      <c r="B325" s="17" t="s">
        <v>157</v>
      </c>
      <c r="C325" s="17" t="s">
        <v>157</v>
      </c>
      <c r="D325" s="17" t="s">
        <v>288</v>
      </c>
      <c r="E325" s="17" t="s">
        <v>288</v>
      </c>
      <c r="F325" s="17" t="s">
        <v>288</v>
      </c>
      <c r="G325" s="17" t="s">
        <v>288</v>
      </c>
      <c r="H325" s="17" t="s">
        <v>288</v>
      </c>
      <c r="I325" s="17" t="s">
        <v>288</v>
      </c>
      <c r="J325" s="17" t="s">
        <v>288</v>
      </c>
      <c r="K325" s="17" t="s">
        <v>288</v>
      </c>
      <c r="L325" s="17" t="s">
        <v>288</v>
      </c>
      <c r="M325" s="17" t="s">
        <v>288</v>
      </c>
    </row>
    <row r="326" spans="1:13" ht="50.1" customHeight="1" x14ac:dyDescent="0.3">
      <c r="A326" s="17" t="s">
        <v>158</v>
      </c>
      <c r="B326" s="17" t="s">
        <v>158</v>
      </c>
      <c r="C326" s="17" t="s">
        <v>158</v>
      </c>
      <c r="D326" s="17" t="s">
        <v>290</v>
      </c>
      <c r="E326" s="17" t="s">
        <v>290</v>
      </c>
      <c r="F326" s="17" t="s">
        <v>290</v>
      </c>
      <c r="G326" s="17" t="s">
        <v>290</v>
      </c>
      <c r="H326" s="17" t="s">
        <v>290</v>
      </c>
      <c r="I326" s="17" t="s">
        <v>290</v>
      </c>
      <c r="J326" s="17" t="s">
        <v>290</v>
      </c>
      <c r="K326" s="17" t="s">
        <v>290</v>
      </c>
      <c r="L326" s="17" t="s">
        <v>290</v>
      </c>
      <c r="M326" s="17" t="s">
        <v>290</v>
      </c>
    </row>
    <row r="327" spans="1:13" ht="50.1" customHeight="1" x14ac:dyDescent="0.3">
      <c r="A327" s="17" t="s">
        <v>159</v>
      </c>
      <c r="B327" s="17" t="s">
        <v>159</v>
      </c>
      <c r="C327" s="17" t="s">
        <v>159</v>
      </c>
      <c r="D327" s="17" t="s">
        <v>291</v>
      </c>
      <c r="E327" s="17" t="s">
        <v>291</v>
      </c>
      <c r="F327" s="17" t="s">
        <v>291</v>
      </c>
      <c r="G327" s="17" t="s">
        <v>291</v>
      </c>
      <c r="H327" s="17" t="s">
        <v>291</v>
      </c>
      <c r="I327" s="17" t="s">
        <v>291</v>
      </c>
      <c r="J327" s="17" t="s">
        <v>291</v>
      </c>
      <c r="K327" s="17" t="s">
        <v>291</v>
      </c>
      <c r="L327" s="17" t="s">
        <v>291</v>
      </c>
      <c r="M327" s="17" t="s">
        <v>291</v>
      </c>
    </row>
    <row r="328" spans="1:13" ht="50.1" customHeight="1" x14ac:dyDescent="0.3">
      <c r="A328" s="17" t="s">
        <v>160</v>
      </c>
      <c r="B328" s="17" t="s">
        <v>160</v>
      </c>
      <c r="C328" s="17" t="s">
        <v>160</v>
      </c>
      <c r="D328" s="17" t="s">
        <v>292</v>
      </c>
      <c r="E328" s="17" t="s">
        <v>292</v>
      </c>
      <c r="F328" s="17" t="s">
        <v>292</v>
      </c>
      <c r="G328" s="17" t="s">
        <v>292</v>
      </c>
      <c r="H328" s="17" t="s">
        <v>292</v>
      </c>
      <c r="I328" s="17" t="s">
        <v>292</v>
      </c>
      <c r="J328" s="17" t="s">
        <v>292</v>
      </c>
      <c r="K328" s="17" t="s">
        <v>292</v>
      </c>
      <c r="L328" s="17" t="s">
        <v>292</v>
      </c>
      <c r="M328" s="17" t="s">
        <v>292</v>
      </c>
    </row>
    <row r="329" spans="1:13" ht="50.1" customHeight="1" x14ac:dyDescent="0.3">
      <c r="A329" s="17" t="s">
        <v>164</v>
      </c>
      <c r="B329" s="17" t="s">
        <v>164</v>
      </c>
      <c r="C329" s="17" t="s">
        <v>164</v>
      </c>
      <c r="D329" s="17" t="s">
        <v>293</v>
      </c>
      <c r="E329" s="17" t="s">
        <v>293</v>
      </c>
      <c r="F329" s="17" t="s">
        <v>293</v>
      </c>
      <c r="G329" s="17" t="s">
        <v>293</v>
      </c>
      <c r="H329" s="17" t="s">
        <v>293</v>
      </c>
      <c r="I329" s="17" t="s">
        <v>293</v>
      </c>
      <c r="J329" s="17" t="s">
        <v>293</v>
      </c>
      <c r="K329" s="17" t="s">
        <v>293</v>
      </c>
      <c r="L329" s="17" t="s">
        <v>293</v>
      </c>
      <c r="M329" s="17" t="s">
        <v>293</v>
      </c>
    </row>
    <row r="330" spans="1:13" ht="50.1" customHeight="1" x14ac:dyDescent="0.3">
      <c r="A330" s="17" t="s">
        <v>166</v>
      </c>
      <c r="B330" s="17" t="s">
        <v>166</v>
      </c>
      <c r="C330" s="17" t="s">
        <v>166</v>
      </c>
      <c r="D330" s="17" t="s">
        <v>294</v>
      </c>
      <c r="E330" s="17" t="s">
        <v>294</v>
      </c>
      <c r="F330" s="17" t="s">
        <v>294</v>
      </c>
      <c r="G330" s="17" t="s">
        <v>294</v>
      </c>
      <c r="H330" s="17" t="s">
        <v>294</v>
      </c>
      <c r="I330" s="17" t="s">
        <v>294</v>
      </c>
      <c r="J330" s="17" t="s">
        <v>294</v>
      </c>
      <c r="K330" s="17" t="s">
        <v>294</v>
      </c>
      <c r="L330" s="17" t="s">
        <v>294</v>
      </c>
      <c r="M330" s="17" t="s">
        <v>294</v>
      </c>
    </row>
    <row r="331" spans="1:13" ht="50.1" customHeight="1" x14ac:dyDescent="0.3">
      <c r="A331" s="17" t="s">
        <v>187</v>
      </c>
      <c r="B331" s="17" t="s">
        <v>187</v>
      </c>
      <c r="C331" s="17" t="s">
        <v>187</v>
      </c>
      <c r="D331" s="17" t="s">
        <v>295</v>
      </c>
      <c r="E331" s="17" t="s">
        <v>295</v>
      </c>
      <c r="F331" s="17" t="s">
        <v>295</v>
      </c>
      <c r="G331" s="17" t="s">
        <v>295</v>
      </c>
      <c r="H331" s="17" t="s">
        <v>295</v>
      </c>
      <c r="I331" s="17" t="s">
        <v>295</v>
      </c>
      <c r="J331" s="17" t="s">
        <v>295</v>
      </c>
      <c r="K331" s="17" t="s">
        <v>295</v>
      </c>
      <c r="L331" s="17" t="s">
        <v>295</v>
      </c>
      <c r="M331" s="17" t="s">
        <v>295</v>
      </c>
    </row>
    <row r="332" spans="1:13" ht="50.1" customHeight="1" x14ac:dyDescent="0.3">
      <c r="A332" s="17" t="s">
        <v>172</v>
      </c>
      <c r="B332" s="17" t="s">
        <v>172</v>
      </c>
      <c r="C332" s="17" t="s">
        <v>172</v>
      </c>
      <c r="D332" s="17" t="s">
        <v>296</v>
      </c>
      <c r="E332" s="17" t="s">
        <v>296</v>
      </c>
      <c r="F332" s="17" t="s">
        <v>296</v>
      </c>
      <c r="G332" s="17" t="s">
        <v>296</v>
      </c>
      <c r="H332" s="17" t="s">
        <v>296</v>
      </c>
      <c r="I332" s="17" t="s">
        <v>296</v>
      </c>
      <c r="J332" s="17" t="s">
        <v>296</v>
      </c>
      <c r="K332" s="17" t="s">
        <v>296</v>
      </c>
      <c r="L332" s="17" t="s">
        <v>296</v>
      </c>
      <c r="M332" s="17" t="s">
        <v>296</v>
      </c>
    </row>
    <row r="333" spans="1:13" ht="50.1" customHeight="1" x14ac:dyDescent="0.3">
      <c r="A333" s="17" t="s">
        <v>174</v>
      </c>
      <c r="B333" s="17" t="s">
        <v>174</v>
      </c>
      <c r="C333" s="17" t="s">
        <v>174</v>
      </c>
      <c r="D333" s="17" t="s">
        <v>297</v>
      </c>
      <c r="E333" s="17" t="s">
        <v>297</v>
      </c>
      <c r="F333" s="17" t="s">
        <v>297</v>
      </c>
      <c r="G333" s="17" t="s">
        <v>297</v>
      </c>
      <c r="H333" s="17" t="s">
        <v>297</v>
      </c>
      <c r="I333" s="17" t="s">
        <v>297</v>
      </c>
      <c r="J333" s="17" t="s">
        <v>297</v>
      </c>
      <c r="K333" s="17" t="s">
        <v>297</v>
      </c>
      <c r="L333" s="17" t="s">
        <v>297</v>
      </c>
      <c r="M333" s="17" t="s">
        <v>297</v>
      </c>
    </row>
    <row r="334" spans="1:13" ht="50.1" customHeight="1" x14ac:dyDescent="0.3">
      <c r="A334" s="17" t="s">
        <v>173</v>
      </c>
      <c r="B334" s="17" t="s">
        <v>173</v>
      </c>
      <c r="C334" s="17" t="s">
        <v>173</v>
      </c>
      <c r="D334" s="17" t="s">
        <v>298</v>
      </c>
      <c r="E334" s="17" t="s">
        <v>298</v>
      </c>
      <c r="F334" s="17" t="s">
        <v>298</v>
      </c>
      <c r="G334" s="17" t="s">
        <v>298</v>
      </c>
      <c r="H334" s="17" t="s">
        <v>298</v>
      </c>
      <c r="I334" s="17" t="s">
        <v>298</v>
      </c>
      <c r="J334" s="17" t="s">
        <v>298</v>
      </c>
      <c r="K334" s="17" t="s">
        <v>298</v>
      </c>
      <c r="L334" s="17" t="s">
        <v>298</v>
      </c>
      <c r="M334" s="17" t="s">
        <v>298</v>
      </c>
    </row>
    <row r="335" spans="1:13" ht="50.1" customHeight="1" x14ac:dyDescent="0.3">
      <c r="A335" s="17" t="s">
        <v>175</v>
      </c>
      <c r="B335" s="17" t="s">
        <v>175</v>
      </c>
      <c r="C335" s="17" t="s">
        <v>175</v>
      </c>
      <c r="D335" s="17" t="s">
        <v>299</v>
      </c>
      <c r="E335" s="17" t="s">
        <v>299</v>
      </c>
      <c r="F335" s="17" t="s">
        <v>299</v>
      </c>
      <c r="G335" s="17" t="s">
        <v>299</v>
      </c>
      <c r="H335" s="17" t="s">
        <v>299</v>
      </c>
      <c r="I335" s="17" t="s">
        <v>299</v>
      </c>
      <c r="J335" s="17" t="s">
        <v>299</v>
      </c>
      <c r="K335" s="17" t="s">
        <v>299</v>
      </c>
      <c r="L335" s="17" t="s">
        <v>299</v>
      </c>
      <c r="M335" s="17" t="s">
        <v>299</v>
      </c>
    </row>
    <row r="336" spans="1:13" ht="50.1" customHeight="1" x14ac:dyDescent="0.3">
      <c r="A336" s="17" t="s">
        <v>177</v>
      </c>
      <c r="B336" s="17" t="s">
        <v>177</v>
      </c>
      <c r="C336" s="17" t="s">
        <v>177</v>
      </c>
      <c r="D336" s="17" t="s">
        <v>300</v>
      </c>
      <c r="E336" s="17" t="s">
        <v>300</v>
      </c>
      <c r="F336" s="17" t="s">
        <v>300</v>
      </c>
      <c r="G336" s="17" t="s">
        <v>300</v>
      </c>
      <c r="H336" s="17" t="s">
        <v>300</v>
      </c>
      <c r="I336" s="17" t="s">
        <v>300</v>
      </c>
      <c r="J336" s="17" t="s">
        <v>300</v>
      </c>
      <c r="K336" s="17" t="s">
        <v>300</v>
      </c>
      <c r="L336" s="17" t="s">
        <v>300</v>
      </c>
      <c r="M336" s="17" t="s">
        <v>300</v>
      </c>
    </row>
    <row r="337" spans="1:13" ht="50.1" customHeight="1" x14ac:dyDescent="0.3">
      <c r="A337" s="17" t="s">
        <v>207</v>
      </c>
      <c r="B337" s="17" t="s">
        <v>207</v>
      </c>
      <c r="C337" s="17" t="s">
        <v>207</v>
      </c>
      <c r="D337" s="17" t="s">
        <v>301</v>
      </c>
      <c r="E337" s="17" t="s">
        <v>301</v>
      </c>
      <c r="F337" s="17" t="s">
        <v>301</v>
      </c>
      <c r="G337" s="17" t="s">
        <v>301</v>
      </c>
      <c r="H337" s="17" t="s">
        <v>301</v>
      </c>
      <c r="I337" s="17" t="s">
        <v>301</v>
      </c>
      <c r="J337" s="17" t="s">
        <v>301</v>
      </c>
      <c r="K337" s="17" t="s">
        <v>301</v>
      </c>
      <c r="L337" s="17" t="s">
        <v>301</v>
      </c>
      <c r="M337" s="17" t="s">
        <v>301</v>
      </c>
    </row>
    <row r="338" spans="1:13" ht="50.1" customHeight="1" x14ac:dyDescent="0.3">
      <c r="A338" s="17" t="s">
        <v>211</v>
      </c>
      <c r="B338" s="17" t="s">
        <v>211</v>
      </c>
      <c r="C338" s="17" t="s">
        <v>211</v>
      </c>
      <c r="D338" s="17" t="s">
        <v>302</v>
      </c>
      <c r="E338" s="17" t="s">
        <v>302</v>
      </c>
      <c r="F338" s="17" t="s">
        <v>302</v>
      </c>
      <c r="G338" s="17" t="s">
        <v>302</v>
      </c>
      <c r="H338" s="17" t="s">
        <v>302</v>
      </c>
      <c r="I338" s="17" t="s">
        <v>302</v>
      </c>
      <c r="J338" s="17" t="s">
        <v>302</v>
      </c>
      <c r="K338" s="17" t="s">
        <v>302</v>
      </c>
      <c r="L338" s="17" t="s">
        <v>302</v>
      </c>
      <c r="M338" s="17" t="s">
        <v>302</v>
      </c>
    </row>
    <row r="339" spans="1:13" ht="50.1" customHeight="1" x14ac:dyDescent="0.3">
      <c r="A339" s="17" t="s">
        <v>186</v>
      </c>
      <c r="B339" s="17" t="s">
        <v>186</v>
      </c>
      <c r="C339" s="17" t="s">
        <v>186</v>
      </c>
      <c r="D339" s="17" t="s">
        <v>303</v>
      </c>
      <c r="E339" s="17" t="s">
        <v>303</v>
      </c>
      <c r="F339" s="17" t="s">
        <v>303</v>
      </c>
      <c r="G339" s="17" t="s">
        <v>303</v>
      </c>
      <c r="H339" s="17" t="s">
        <v>303</v>
      </c>
      <c r="I339" s="17" t="s">
        <v>303</v>
      </c>
      <c r="J339" s="17" t="s">
        <v>303</v>
      </c>
      <c r="K339" s="17" t="s">
        <v>303</v>
      </c>
      <c r="L339" s="17" t="s">
        <v>303</v>
      </c>
      <c r="M339" s="17" t="s">
        <v>303</v>
      </c>
    </row>
    <row r="340" spans="1:13" ht="50.1" customHeight="1" x14ac:dyDescent="0.3">
      <c r="A340" s="17" t="s">
        <v>227</v>
      </c>
      <c r="B340" s="17" t="s">
        <v>227</v>
      </c>
      <c r="C340" s="17" t="s">
        <v>227</v>
      </c>
      <c r="D340" s="17" t="s">
        <v>304</v>
      </c>
      <c r="E340" s="17" t="s">
        <v>304</v>
      </c>
      <c r="F340" s="17" t="s">
        <v>304</v>
      </c>
      <c r="G340" s="17" t="s">
        <v>304</v>
      </c>
      <c r="H340" s="17" t="s">
        <v>304</v>
      </c>
      <c r="I340" s="17" t="s">
        <v>304</v>
      </c>
      <c r="J340" s="17" t="s">
        <v>304</v>
      </c>
      <c r="K340" s="17" t="s">
        <v>304</v>
      </c>
      <c r="L340" s="17" t="s">
        <v>304</v>
      </c>
      <c r="M340" s="17" t="s">
        <v>304</v>
      </c>
    </row>
    <row r="341" spans="1:13" ht="50.1" customHeight="1" x14ac:dyDescent="0.3">
      <c r="A341" s="17" t="s">
        <v>240</v>
      </c>
      <c r="B341" s="17" t="s">
        <v>240</v>
      </c>
      <c r="C341" s="17" t="s">
        <v>240</v>
      </c>
      <c r="D341" s="17" t="s">
        <v>305</v>
      </c>
      <c r="E341" s="17" t="s">
        <v>305</v>
      </c>
      <c r="F341" s="17" t="s">
        <v>305</v>
      </c>
      <c r="G341" s="17" t="s">
        <v>305</v>
      </c>
      <c r="H341" s="17" t="s">
        <v>305</v>
      </c>
      <c r="I341" s="17" t="s">
        <v>305</v>
      </c>
      <c r="J341" s="17" t="s">
        <v>305</v>
      </c>
      <c r="K341" s="17" t="s">
        <v>305</v>
      </c>
      <c r="L341" s="17" t="s">
        <v>305</v>
      </c>
      <c r="M341" s="17" t="s">
        <v>305</v>
      </c>
    </row>
    <row r="342" spans="1:13" ht="50.1" customHeight="1" x14ac:dyDescent="0.3">
      <c r="A342" s="17" t="s">
        <v>239</v>
      </c>
      <c r="B342" s="17" t="s">
        <v>239</v>
      </c>
      <c r="C342" s="17" t="s">
        <v>239</v>
      </c>
      <c r="D342" s="17" t="s">
        <v>305</v>
      </c>
      <c r="E342" s="17" t="s">
        <v>305</v>
      </c>
      <c r="F342" s="17" t="s">
        <v>305</v>
      </c>
      <c r="G342" s="17" t="s">
        <v>305</v>
      </c>
      <c r="H342" s="17" t="s">
        <v>305</v>
      </c>
      <c r="I342" s="17" t="s">
        <v>305</v>
      </c>
      <c r="J342" s="17" t="s">
        <v>305</v>
      </c>
      <c r="K342" s="17" t="s">
        <v>305</v>
      </c>
      <c r="L342" s="17" t="s">
        <v>305</v>
      </c>
      <c r="M342" s="17" t="s">
        <v>305</v>
      </c>
    </row>
    <row r="343" spans="1:13" ht="50.1" customHeight="1" x14ac:dyDescent="0.3">
      <c r="A343" s="17" t="s">
        <v>212</v>
      </c>
      <c r="B343" s="17" t="s">
        <v>212</v>
      </c>
      <c r="C343" s="17" t="s">
        <v>212</v>
      </c>
      <c r="D343" s="17" t="s">
        <v>306</v>
      </c>
      <c r="E343" s="17" t="s">
        <v>306</v>
      </c>
      <c r="F343" s="17" t="s">
        <v>306</v>
      </c>
      <c r="G343" s="17" t="s">
        <v>306</v>
      </c>
      <c r="H343" s="17" t="s">
        <v>306</v>
      </c>
      <c r="I343" s="17" t="s">
        <v>306</v>
      </c>
      <c r="J343" s="17" t="s">
        <v>306</v>
      </c>
      <c r="K343" s="17" t="s">
        <v>306</v>
      </c>
      <c r="L343" s="17" t="s">
        <v>306</v>
      </c>
      <c r="M343" s="17" t="s">
        <v>306</v>
      </c>
    </row>
    <row r="344" spans="1:13" ht="50.1" customHeight="1" x14ac:dyDescent="0.3">
      <c r="A344" s="17" t="s">
        <v>213</v>
      </c>
      <c r="B344" s="17" t="s">
        <v>213</v>
      </c>
      <c r="C344" s="17" t="s">
        <v>213</v>
      </c>
      <c r="D344" s="17" t="s">
        <v>307</v>
      </c>
      <c r="E344" s="17" t="s">
        <v>307</v>
      </c>
      <c r="F344" s="17" t="s">
        <v>307</v>
      </c>
      <c r="G344" s="17" t="s">
        <v>307</v>
      </c>
      <c r="H344" s="17" t="s">
        <v>307</v>
      </c>
      <c r="I344" s="17" t="s">
        <v>307</v>
      </c>
      <c r="J344" s="17" t="s">
        <v>307</v>
      </c>
      <c r="K344" s="17" t="s">
        <v>307</v>
      </c>
      <c r="L344" s="17" t="s">
        <v>307</v>
      </c>
      <c r="M344" s="17" t="s">
        <v>307</v>
      </c>
    </row>
    <row r="345" spans="1:13" ht="50.1" customHeight="1" x14ac:dyDescent="0.3">
      <c r="A345" s="17" t="s">
        <v>190</v>
      </c>
      <c r="B345" s="17" t="s">
        <v>190</v>
      </c>
      <c r="C345" s="17" t="s">
        <v>190</v>
      </c>
      <c r="D345" s="17" t="s">
        <v>308</v>
      </c>
      <c r="E345" s="17" t="s">
        <v>308</v>
      </c>
      <c r="F345" s="17" t="s">
        <v>308</v>
      </c>
      <c r="G345" s="17" t="s">
        <v>308</v>
      </c>
      <c r="H345" s="17" t="s">
        <v>308</v>
      </c>
      <c r="I345" s="17" t="s">
        <v>308</v>
      </c>
      <c r="J345" s="17" t="s">
        <v>308</v>
      </c>
      <c r="K345" s="17" t="s">
        <v>308</v>
      </c>
      <c r="L345" s="17" t="s">
        <v>308</v>
      </c>
      <c r="M345" s="17" t="s">
        <v>308</v>
      </c>
    </row>
    <row r="346" spans="1:13" ht="50.1" customHeight="1" x14ac:dyDescent="0.3">
      <c r="A346" s="17" t="s">
        <v>197</v>
      </c>
      <c r="B346" s="17" t="s">
        <v>197</v>
      </c>
      <c r="C346" s="17" t="s">
        <v>197</v>
      </c>
      <c r="D346" s="17" t="s">
        <v>309</v>
      </c>
      <c r="E346" s="17" t="s">
        <v>309</v>
      </c>
      <c r="F346" s="17" t="s">
        <v>309</v>
      </c>
      <c r="G346" s="17" t="s">
        <v>309</v>
      </c>
      <c r="H346" s="17" t="s">
        <v>309</v>
      </c>
      <c r="I346" s="17" t="s">
        <v>309</v>
      </c>
      <c r="J346" s="17" t="s">
        <v>309</v>
      </c>
      <c r="K346" s="17" t="s">
        <v>309</v>
      </c>
      <c r="L346" s="17" t="s">
        <v>309</v>
      </c>
      <c r="M346" s="17" t="s">
        <v>309</v>
      </c>
    </row>
    <row r="347" spans="1:13" ht="50.1" customHeight="1" x14ac:dyDescent="0.3">
      <c r="A347" s="17" t="s">
        <v>234</v>
      </c>
      <c r="B347" s="17" t="s">
        <v>234</v>
      </c>
      <c r="C347" s="17" t="s">
        <v>234</v>
      </c>
      <c r="D347" s="17" t="s">
        <v>310</v>
      </c>
      <c r="E347" s="17" t="s">
        <v>310</v>
      </c>
      <c r="F347" s="17" t="s">
        <v>310</v>
      </c>
      <c r="G347" s="17" t="s">
        <v>310</v>
      </c>
      <c r="H347" s="17" t="s">
        <v>310</v>
      </c>
      <c r="I347" s="17" t="s">
        <v>310</v>
      </c>
      <c r="J347" s="17" t="s">
        <v>310</v>
      </c>
      <c r="K347" s="17" t="s">
        <v>310</v>
      </c>
      <c r="L347" s="17" t="s">
        <v>310</v>
      </c>
      <c r="M347" s="17" t="s">
        <v>310</v>
      </c>
    </row>
    <row r="348" spans="1:13" ht="50.1" customHeight="1" x14ac:dyDescent="0.3">
      <c r="A348" s="17" t="s">
        <v>243</v>
      </c>
      <c r="B348" s="17" t="s">
        <v>243</v>
      </c>
      <c r="C348" s="17" t="s">
        <v>243</v>
      </c>
      <c r="D348" s="17" t="s">
        <v>311</v>
      </c>
      <c r="E348" s="17" t="s">
        <v>311</v>
      </c>
      <c r="F348" s="17" t="s">
        <v>311</v>
      </c>
      <c r="G348" s="17" t="s">
        <v>311</v>
      </c>
      <c r="H348" s="17" t="s">
        <v>311</v>
      </c>
      <c r="I348" s="17" t="s">
        <v>311</v>
      </c>
      <c r="J348" s="17" t="s">
        <v>311</v>
      </c>
      <c r="K348" s="17" t="s">
        <v>311</v>
      </c>
      <c r="L348" s="17" t="s">
        <v>311</v>
      </c>
      <c r="M348" s="17" t="s">
        <v>311</v>
      </c>
    </row>
    <row r="349" spans="1:13" ht="50.1" customHeight="1" x14ac:dyDescent="0.3">
      <c r="A349" s="17" t="s">
        <v>235</v>
      </c>
      <c r="B349" s="17" t="s">
        <v>235</v>
      </c>
      <c r="C349" s="17" t="s">
        <v>235</v>
      </c>
      <c r="D349" s="17" t="s">
        <v>312</v>
      </c>
      <c r="E349" s="17" t="s">
        <v>312</v>
      </c>
      <c r="F349" s="17" t="s">
        <v>312</v>
      </c>
      <c r="G349" s="17" t="s">
        <v>312</v>
      </c>
      <c r="H349" s="17" t="s">
        <v>312</v>
      </c>
      <c r="I349" s="17" t="s">
        <v>312</v>
      </c>
      <c r="J349" s="17" t="s">
        <v>312</v>
      </c>
      <c r="K349" s="17" t="s">
        <v>312</v>
      </c>
      <c r="L349" s="17" t="s">
        <v>312</v>
      </c>
      <c r="M349" s="17" t="s">
        <v>312</v>
      </c>
    </row>
    <row r="350" spans="1:13" ht="50.1" customHeight="1" x14ac:dyDescent="0.3">
      <c r="A350" s="17" t="s">
        <v>236</v>
      </c>
      <c r="B350" s="17" t="s">
        <v>236</v>
      </c>
      <c r="C350" s="17" t="s">
        <v>236</v>
      </c>
      <c r="D350" s="17" t="s">
        <v>313</v>
      </c>
      <c r="E350" s="17" t="s">
        <v>313</v>
      </c>
      <c r="F350" s="17" t="s">
        <v>313</v>
      </c>
      <c r="G350" s="17" t="s">
        <v>313</v>
      </c>
      <c r="H350" s="17" t="s">
        <v>313</v>
      </c>
      <c r="I350" s="17" t="s">
        <v>313</v>
      </c>
      <c r="J350" s="17" t="s">
        <v>313</v>
      </c>
      <c r="K350" s="17" t="s">
        <v>313</v>
      </c>
      <c r="L350" s="17" t="s">
        <v>313</v>
      </c>
      <c r="M350" s="17" t="s">
        <v>313</v>
      </c>
    </row>
    <row r="351" spans="1:13" ht="50.1" customHeight="1" x14ac:dyDescent="0.3">
      <c r="A351" s="17" t="s">
        <v>215</v>
      </c>
      <c r="B351" s="17" t="s">
        <v>215</v>
      </c>
      <c r="C351" s="17" t="s">
        <v>215</v>
      </c>
      <c r="D351" s="17" t="s">
        <v>314</v>
      </c>
      <c r="E351" s="17" t="s">
        <v>314</v>
      </c>
      <c r="F351" s="17" t="s">
        <v>314</v>
      </c>
      <c r="G351" s="17" t="s">
        <v>314</v>
      </c>
      <c r="H351" s="17" t="s">
        <v>314</v>
      </c>
      <c r="I351" s="17" t="s">
        <v>314</v>
      </c>
      <c r="J351" s="17" t="s">
        <v>314</v>
      </c>
      <c r="K351" s="17" t="s">
        <v>314</v>
      </c>
      <c r="L351" s="17" t="s">
        <v>314</v>
      </c>
      <c r="M351" s="17" t="s">
        <v>314</v>
      </c>
    </row>
    <row r="352" spans="1:13" ht="50.1" customHeight="1" x14ac:dyDescent="0.3">
      <c r="A352" s="17" t="s">
        <v>189</v>
      </c>
      <c r="B352" s="17" t="s">
        <v>189</v>
      </c>
      <c r="C352" s="17" t="s">
        <v>189</v>
      </c>
      <c r="D352" s="17" t="s">
        <v>315</v>
      </c>
      <c r="E352" s="17" t="s">
        <v>315</v>
      </c>
      <c r="F352" s="17" t="s">
        <v>315</v>
      </c>
      <c r="G352" s="17" t="s">
        <v>315</v>
      </c>
      <c r="H352" s="17" t="s">
        <v>315</v>
      </c>
      <c r="I352" s="17" t="s">
        <v>315</v>
      </c>
      <c r="J352" s="17" t="s">
        <v>315</v>
      </c>
      <c r="K352" s="17" t="s">
        <v>315</v>
      </c>
      <c r="L352" s="17" t="s">
        <v>315</v>
      </c>
      <c r="M352" s="17" t="s">
        <v>315</v>
      </c>
    </row>
    <row r="353" spans="1:13" ht="50.1" customHeight="1" x14ac:dyDescent="0.3">
      <c r="A353" s="17" t="s">
        <v>251</v>
      </c>
      <c r="B353" s="17" t="s">
        <v>251</v>
      </c>
      <c r="C353" s="17" t="s">
        <v>251</v>
      </c>
      <c r="D353" s="17" t="s">
        <v>316</v>
      </c>
      <c r="E353" s="17" t="s">
        <v>316</v>
      </c>
      <c r="F353" s="17" t="s">
        <v>316</v>
      </c>
      <c r="G353" s="17" t="s">
        <v>316</v>
      </c>
      <c r="H353" s="17" t="s">
        <v>316</v>
      </c>
      <c r="I353" s="17" t="s">
        <v>316</v>
      </c>
      <c r="J353" s="17" t="s">
        <v>316</v>
      </c>
      <c r="K353" s="17" t="s">
        <v>316</v>
      </c>
      <c r="L353" s="17" t="s">
        <v>316</v>
      </c>
      <c r="M353" s="17" t="s">
        <v>316</v>
      </c>
    </row>
    <row r="354" spans="1:13" ht="50.1" customHeight="1" x14ac:dyDescent="0.3">
      <c r="A354" s="17" t="s">
        <v>196</v>
      </c>
      <c r="B354" s="17" t="s">
        <v>196</v>
      </c>
      <c r="C354" s="17" t="s">
        <v>196</v>
      </c>
      <c r="D354" s="17" t="s">
        <v>317</v>
      </c>
      <c r="E354" s="17" t="s">
        <v>317</v>
      </c>
      <c r="F354" s="17" t="s">
        <v>317</v>
      </c>
      <c r="G354" s="17" t="s">
        <v>317</v>
      </c>
      <c r="H354" s="17" t="s">
        <v>317</v>
      </c>
      <c r="I354" s="17" t="s">
        <v>317</v>
      </c>
      <c r="J354" s="17" t="s">
        <v>317</v>
      </c>
      <c r="K354" s="17" t="s">
        <v>317</v>
      </c>
      <c r="L354" s="17" t="s">
        <v>317</v>
      </c>
      <c r="M354" s="17" t="s">
        <v>317</v>
      </c>
    </row>
    <row r="355" spans="1:13" ht="50.1" customHeight="1" x14ac:dyDescent="0.3">
      <c r="A355" s="17" t="s">
        <v>217</v>
      </c>
      <c r="B355" s="17" t="s">
        <v>217</v>
      </c>
      <c r="C355" s="17" t="s">
        <v>217</v>
      </c>
      <c r="D355" s="17" t="s">
        <v>318</v>
      </c>
      <c r="E355" s="17" t="s">
        <v>318</v>
      </c>
      <c r="F355" s="17" t="s">
        <v>318</v>
      </c>
      <c r="G355" s="17" t="s">
        <v>318</v>
      </c>
      <c r="H355" s="17" t="s">
        <v>318</v>
      </c>
      <c r="I355" s="17" t="s">
        <v>318</v>
      </c>
      <c r="J355" s="17" t="s">
        <v>318</v>
      </c>
      <c r="K355" s="17" t="s">
        <v>318</v>
      </c>
      <c r="L355" s="17" t="s">
        <v>318</v>
      </c>
      <c r="M355" s="17" t="s">
        <v>318</v>
      </c>
    </row>
    <row r="356" spans="1:13" ht="50.1" customHeight="1" x14ac:dyDescent="0.3">
      <c r="A356" s="17" t="s">
        <v>218</v>
      </c>
      <c r="B356" s="17" t="s">
        <v>218</v>
      </c>
      <c r="C356" s="17" t="s">
        <v>218</v>
      </c>
      <c r="D356" s="17" t="s">
        <v>319</v>
      </c>
      <c r="E356" s="17" t="s">
        <v>319</v>
      </c>
      <c r="F356" s="17" t="s">
        <v>319</v>
      </c>
      <c r="G356" s="17" t="s">
        <v>319</v>
      </c>
      <c r="H356" s="17" t="s">
        <v>319</v>
      </c>
      <c r="I356" s="17" t="s">
        <v>319</v>
      </c>
      <c r="J356" s="17" t="s">
        <v>319</v>
      </c>
      <c r="K356" s="17" t="s">
        <v>319</v>
      </c>
      <c r="L356" s="17" t="s">
        <v>319</v>
      </c>
      <c r="M356" s="17" t="s">
        <v>319</v>
      </c>
    </row>
    <row r="357" spans="1:13" ht="50.1" customHeight="1" x14ac:dyDescent="0.3">
      <c r="A357" s="17" t="s">
        <v>237</v>
      </c>
      <c r="B357" s="17" t="s">
        <v>237</v>
      </c>
      <c r="C357" s="17" t="s">
        <v>237</v>
      </c>
      <c r="D357" s="17" t="s">
        <v>320</v>
      </c>
      <c r="E357" s="17" t="s">
        <v>320</v>
      </c>
      <c r="F357" s="17" t="s">
        <v>320</v>
      </c>
      <c r="G357" s="17" t="s">
        <v>320</v>
      </c>
      <c r="H357" s="17" t="s">
        <v>320</v>
      </c>
      <c r="I357" s="17" t="s">
        <v>320</v>
      </c>
      <c r="J357" s="17" t="s">
        <v>320</v>
      </c>
      <c r="K357" s="17" t="s">
        <v>320</v>
      </c>
      <c r="L357" s="17" t="s">
        <v>320</v>
      </c>
      <c r="M357" s="17" t="s">
        <v>320</v>
      </c>
    </row>
    <row r="358" spans="1:13" ht="50.1" customHeight="1" x14ac:dyDescent="0.3">
      <c r="A358" s="17" t="s">
        <v>216</v>
      </c>
      <c r="B358" s="17" t="s">
        <v>216</v>
      </c>
      <c r="C358" s="17" t="s">
        <v>216</v>
      </c>
      <c r="D358" s="17" t="s">
        <v>321</v>
      </c>
      <c r="E358" s="17" t="s">
        <v>321</v>
      </c>
      <c r="F358" s="17" t="s">
        <v>321</v>
      </c>
      <c r="G358" s="17" t="s">
        <v>321</v>
      </c>
      <c r="H358" s="17" t="s">
        <v>321</v>
      </c>
      <c r="I358" s="17" t="s">
        <v>321</v>
      </c>
      <c r="J358" s="17" t="s">
        <v>321</v>
      </c>
      <c r="K358" s="17" t="s">
        <v>321</v>
      </c>
      <c r="L358" s="17" t="s">
        <v>321</v>
      </c>
      <c r="M358" s="17" t="s">
        <v>321</v>
      </c>
    </row>
    <row r="359" spans="1:13" ht="50.1" customHeight="1" x14ac:dyDescent="0.3">
      <c r="A359" s="17" t="s">
        <v>238</v>
      </c>
      <c r="B359" s="17" t="s">
        <v>238</v>
      </c>
      <c r="C359" s="17" t="s">
        <v>238</v>
      </c>
      <c r="D359" s="17" t="s">
        <v>322</v>
      </c>
      <c r="E359" s="17" t="s">
        <v>322</v>
      </c>
      <c r="F359" s="17" t="s">
        <v>322</v>
      </c>
      <c r="G359" s="17" t="s">
        <v>322</v>
      </c>
      <c r="H359" s="17" t="s">
        <v>322</v>
      </c>
      <c r="I359" s="17" t="s">
        <v>322</v>
      </c>
      <c r="J359" s="17" t="s">
        <v>322</v>
      </c>
      <c r="K359" s="17" t="s">
        <v>322</v>
      </c>
      <c r="L359" s="17" t="s">
        <v>322</v>
      </c>
      <c r="M359" s="17" t="s">
        <v>322</v>
      </c>
    </row>
    <row r="360" spans="1:13" ht="50.1" customHeight="1" x14ac:dyDescent="0.3">
      <c r="A360" s="17" t="s">
        <v>193</v>
      </c>
      <c r="B360" s="17" t="s">
        <v>193</v>
      </c>
      <c r="C360" s="17" t="s">
        <v>193</v>
      </c>
      <c r="D360" s="17" t="s">
        <v>323</v>
      </c>
      <c r="E360" s="17" t="s">
        <v>323</v>
      </c>
      <c r="F360" s="17" t="s">
        <v>323</v>
      </c>
      <c r="G360" s="17" t="s">
        <v>323</v>
      </c>
      <c r="H360" s="17" t="s">
        <v>323</v>
      </c>
      <c r="I360" s="17" t="s">
        <v>323</v>
      </c>
      <c r="J360" s="17" t="s">
        <v>323</v>
      </c>
      <c r="K360" s="17" t="s">
        <v>323</v>
      </c>
      <c r="L360" s="17" t="s">
        <v>323</v>
      </c>
      <c r="M360" s="17" t="s">
        <v>323</v>
      </c>
    </row>
    <row r="361" spans="1:13" ht="50.1" customHeight="1" x14ac:dyDescent="0.3">
      <c r="A361" s="17" t="s">
        <v>195</v>
      </c>
      <c r="B361" s="17" t="s">
        <v>195</v>
      </c>
      <c r="C361" s="17" t="s">
        <v>195</v>
      </c>
      <c r="D361" s="17" t="s">
        <v>323</v>
      </c>
      <c r="E361" s="17" t="s">
        <v>323</v>
      </c>
      <c r="F361" s="17" t="s">
        <v>323</v>
      </c>
      <c r="G361" s="17" t="s">
        <v>323</v>
      </c>
      <c r="H361" s="17" t="s">
        <v>323</v>
      </c>
      <c r="I361" s="17" t="s">
        <v>323</v>
      </c>
      <c r="J361" s="17" t="s">
        <v>323</v>
      </c>
      <c r="K361" s="17" t="s">
        <v>323</v>
      </c>
      <c r="L361" s="17" t="s">
        <v>323</v>
      </c>
      <c r="M361" s="17" t="s">
        <v>323</v>
      </c>
    </row>
    <row r="362" spans="1:13" ht="50.1" customHeight="1" x14ac:dyDescent="0.3">
      <c r="A362" s="17" t="s">
        <v>192</v>
      </c>
      <c r="B362" s="17" t="s">
        <v>192</v>
      </c>
      <c r="C362" s="17" t="s">
        <v>192</v>
      </c>
      <c r="D362" s="17" t="s">
        <v>324</v>
      </c>
      <c r="E362" s="17" t="s">
        <v>324</v>
      </c>
      <c r="F362" s="17" t="s">
        <v>324</v>
      </c>
      <c r="G362" s="17" t="s">
        <v>324</v>
      </c>
      <c r="H362" s="17" t="s">
        <v>324</v>
      </c>
      <c r="I362" s="17" t="s">
        <v>324</v>
      </c>
      <c r="J362" s="17" t="s">
        <v>324</v>
      </c>
      <c r="K362" s="17" t="s">
        <v>324</v>
      </c>
      <c r="L362" s="17" t="s">
        <v>324</v>
      </c>
      <c r="M362" s="17" t="s">
        <v>324</v>
      </c>
    </row>
    <row r="363" spans="1:13" ht="50.1" customHeight="1" x14ac:dyDescent="0.3">
      <c r="A363" s="17" t="s">
        <v>194</v>
      </c>
      <c r="B363" s="17" t="s">
        <v>194</v>
      </c>
      <c r="C363" s="17" t="s">
        <v>194</v>
      </c>
      <c r="D363" s="17" t="s">
        <v>324</v>
      </c>
      <c r="E363" s="17" t="s">
        <v>324</v>
      </c>
      <c r="F363" s="17" t="s">
        <v>324</v>
      </c>
      <c r="G363" s="17" t="s">
        <v>324</v>
      </c>
      <c r="H363" s="17" t="s">
        <v>324</v>
      </c>
      <c r="I363" s="17" t="s">
        <v>324</v>
      </c>
      <c r="J363" s="17" t="s">
        <v>324</v>
      </c>
      <c r="K363" s="17" t="s">
        <v>324</v>
      </c>
      <c r="L363" s="17" t="s">
        <v>324</v>
      </c>
      <c r="M363" s="17" t="s">
        <v>324</v>
      </c>
    </row>
    <row r="364" spans="1:13" ht="50.1" customHeight="1" x14ac:dyDescent="0.3">
      <c r="A364" s="17" t="s">
        <v>220</v>
      </c>
      <c r="B364" s="17" t="s">
        <v>220</v>
      </c>
      <c r="C364" s="17" t="s">
        <v>220</v>
      </c>
      <c r="D364" s="17" t="s">
        <v>325</v>
      </c>
      <c r="E364" s="17" t="s">
        <v>325</v>
      </c>
      <c r="F364" s="17" t="s">
        <v>325</v>
      </c>
      <c r="G364" s="17" t="s">
        <v>325</v>
      </c>
      <c r="H364" s="17" t="s">
        <v>325</v>
      </c>
      <c r="I364" s="17" t="s">
        <v>325</v>
      </c>
      <c r="J364" s="17" t="s">
        <v>325</v>
      </c>
      <c r="K364" s="17" t="s">
        <v>325</v>
      </c>
      <c r="L364" s="17" t="s">
        <v>325</v>
      </c>
      <c r="M364" s="17" t="s">
        <v>325</v>
      </c>
    </row>
    <row r="365" spans="1:13" ht="50.1" customHeight="1" x14ac:dyDescent="0.3">
      <c r="A365" s="17" t="s">
        <v>200</v>
      </c>
      <c r="B365" s="17" t="s">
        <v>200</v>
      </c>
      <c r="C365" s="17" t="s">
        <v>200</v>
      </c>
      <c r="D365" s="17" t="s">
        <v>326</v>
      </c>
      <c r="E365" s="17" t="s">
        <v>326</v>
      </c>
      <c r="F365" s="17" t="s">
        <v>326</v>
      </c>
      <c r="G365" s="17" t="s">
        <v>326</v>
      </c>
      <c r="H365" s="17" t="s">
        <v>326</v>
      </c>
      <c r="I365" s="17" t="s">
        <v>326</v>
      </c>
      <c r="J365" s="17" t="s">
        <v>326</v>
      </c>
      <c r="K365" s="17" t="s">
        <v>326</v>
      </c>
      <c r="L365" s="17" t="s">
        <v>326</v>
      </c>
      <c r="M365" s="17" t="s">
        <v>326</v>
      </c>
    </row>
    <row r="366" spans="1:13" ht="50.1" customHeight="1" x14ac:dyDescent="0.3">
      <c r="A366" s="17" t="s">
        <v>256</v>
      </c>
      <c r="B366" s="17" t="s">
        <v>256</v>
      </c>
      <c r="C366" s="17" t="s">
        <v>256</v>
      </c>
      <c r="D366" s="17" t="s">
        <v>327</v>
      </c>
      <c r="E366" s="17" t="s">
        <v>327</v>
      </c>
      <c r="F366" s="17" t="s">
        <v>327</v>
      </c>
      <c r="G366" s="17" t="s">
        <v>327</v>
      </c>
      <c r="H366" s="17" t="s">
        <v>327</v>
      </c>
      <c r="I366" s="17" t="s">
        <v>327</v>
      </c>
      <c r="J366" s="17" t="s">
        <v>327</v>
      </c>
      <c r="K366" s="17" t="s">
        <v>327</v>
      </c>
      <c r="L366" s="17" t="s">
        <v>327</v>
      </c>
      <c r="M366" s="17" t="s">
        <v>327</v>
      </c>
    </row>
    <row r="367" spans="1:13" ht="50.1" customHeight="1" x14ac:dyDescent="0.3">
      <c r="A367" s="17" t="s">
        <v>214</v>
      </c>
      <c r="B367" s="17" t="s">
        <v>214</v>
      </c>
      <c r="C367" s="17" t="s">
        <v>214</v>
      </c>
      <c r="D367" s="17" t="s">
        <v>328</v>
      </c>
      <c r="E367" s="17" t="s">
        <v>328</v>
      </c>
      <c r="F367" s="17" t="s">
        <v>328</v>
      </c>
      <c r="G367" s="17" t="s">
        <v>328</v>
      </c>
      <c r="H367" s="17" t="s">
        <v>328</v>
      </c>
      <c r="I367" s="17" t="s">
        <v>328</v>
      </c>
      <c r="J367" s="17" t="s">
        <v>328</v>
      </c>
      <c r="K367" s="17" t="s">
        <v>328</v>
      </c>
      <c r="L367" s="17" t="s">
        <v>328</v>
      </c>
      <c r="M367" s="17" t="s">
        <v>328</v>
      </c>
    </row>
    <row r="368" spans="1:13" ht="50.1" customHeight="1" x14ac:dyDescent="0.3">
      <c r="A368" s="17" t="s">
        <v>250</v>
      </c>
      <c r="B368" s="17" t="s">
        <v>250</v>
      </c>
      <c r="C368" s="17" t="s">
        <v>250</v>
      </c>
      <c r="D368" s="17" t="s">
        <v>329</v>
      </c>
      <c r="E368" s="17" t="s">
        <v>329</v>
      </c>
      <c r="F368" s="17" t="s">
        <v>329</v>
      </c>
      <c r="G368" s="17" t="s">
        <v>329</v>
      </c>
      <c r="H368" s="17" t="s">
        <v>329</v>
      </c>
      <c r="I368" s="17" t="s">
        <v>329</v>
      </c>
      <c r="J368" s="17" t="s">
        <v>329</v>
      </c>
      <c r="K368" s="17" t="s">
        <v>329</v>
      </c>
      <c r="L368" s="17" t="s">
        <v>329</v>
      </c>
      <c r="M368" s="17" t="s">
        <v>329</v>
      </c>
    </row>
    <row r="369" spans="1:13" ht="50.1" customHeight="1" x14ac:dyDescent="0.3">
      <c r="A369" s="17" t="s">
        <v>221</v>
      </c>
      <c r="B369" s="17" t="s">
        <v>221</v>
      </c>
      <c r="C369" s="17" t="s">
        <v>221</v>
      </c>
      <c r="D369" s="17" t="s">
        <v>330</v>
      </c>
      <c r="E369" s="17" t="s">
        <v>330</v>
      </c>
      <c r="F369" s="17" t="s">
        <v>330</v>
      </c>
      <c r="G369" s="17" t="s">
        <v>330</v>
      </c>
      <c r="H369" s="17" t="s">
        <v>330</v>
      </c>
      <c r="I369" s="17" t="s">
        <v>330</v>
      </c>
      <c r="J369" s="17" t="s">
        <v>330</v>
      </c>
      <c r="K369" s="17" t="s">
        <v>330</v>
      </c>
      <c r="L369" s="17" t="s">
        <v>330</v>
      </c>
      <c r="M369" s="17" t="s">
        <v>330</v>
      </c>
    </row>
    <row r="370" spans="1:13" ht="50.1" customHeight="1" x14ac:dyDescent="0.3">
      <c r="A370" s="17" t="s">
        <v>241</v>
      </c>
      <c r="B370" s="17" t="s">
        <v>241</v>
      </c>
      <c r="C370" s="17" t="s">
        <v>241</v>
      </c>
      <c r="D370" s="17" t="s">
        <v>331</v>
      </c>
      <c r="E370" s="17" t="s">
        <v>331</v>
      </c>
      <c r="F370" s="17" t="s">
        <v>331</v>
      </c>
      <c r="G370" s="17" t="s">
        <v>331</v>
      </c>
      <c r="H370" s="17" t="s">
        <v>331</v>
      </c>
      <c r="I370" s="17" t="s">
        <v>331</v>
      </c>
      <c r="J370" s="17" t="s">
        <v>331</v>
      </c>
      <c r="K370" s="17" t="s">
        <v>331</v>
      </c>
      <c r="L370" s="17" t="s">
        <v>331</v>
      </c>
      <c r="M370" s="17" t="s">
        <v>331</v>
      </c>
    </row>
    <row r="371" spans="1:13" ht="50.1" customHeight="1" x14ac:dyDescent="0.3">
      <c r="A371" s="17" t="s">
        <v>219</v>
      </c>
      <c r="B371" s="17" t="s">
        <v>219</v>
      </c>
      <c r="C371" s="17" t="s">
        <v>219</v>
      </c>
      <c r="D371" s="17" t="s">
        <v>332</v>
      </c>
      <c r="E371" s="17" t="s">
        <v>332</v>
      </c>
      <c r="F371" s="17" t="s">
        <v>332</v>
      </c>
      <c r="G371" s="17" t="s">
        <v>332</v>
      </c>
      <c r="H371" s="17" t="s">
        <v>332</v>
      </c>
      <c r="I371" s="17" t="s">
        <v>332</v>
      </c>
      <c r="J371" s="17" t="s">
        <v>332</v>
      </c>
      <c r="K371" s="17" t="s">
        <v>332</v>
      </c>
      <c r="L371" s="17" t="s">
        <v>332</v>
      </c>
      <c r="M371" s="17" t="s">
        <v>332</v>
      </c>
    </row>
    <row r="372" spans="1:13" ht="50.1" customHeight="1" x14ac:dyDescent="0.3">
      <c r="A372" s="17" t="s">
        <v>201</v>
      </c>
      <c r="B372" s="17" t="s">
        <v>201</v>
      </c>
      <c r="C372" s="17" t="s">
        <v>201</v>
      </c>
      <c r="D372" s="17" t="s">
        <v>333</v>
      </c>
      <c r="E372" s="17" t="s">
        <v>333</v>
      </c>
      <c r="F372" s="17" t="s">
        <v>333</v>
      </c>
      <c r="G372" s="17" t="s">
        <v>333</v>
      </c>
      <c r="H372" s="17" t="s">
        <v>333</v>
      </c>
      <c r="I372" s="17" t="s">
        <v>333</v>
      </c>
      <c r="J372" s="17" t="s">
        <v>333</v>
      </c>
      <c r="K372" s="17" t="s">
        <v>333</v>
      </c>
      <c r="L372" s="17" t="s">
        <v>333</v>
      </c>
      <c r="M372" s="17" t="s">
        <v>333</v>
      </c>
    </row>
    <row r="373" spans="1:13" ht="50.1" customHeight="1" x14ac:dyDescent="0.3">
      <c r="A373" s="17" t="s">
        <v>202</v>
      </c>
      <c r="B373" s="17" t="s">
        <v>202</v>
      </c>
      <c r="C373" s="17" t="s">
        <v>202</v>
      </c>
      <c r="D373" s="17" t="s">
        <v>334</v>
      </c>
      <c r="E373" s="17" t="s">
        <v>334</v>
      </c>
      <c r="F373" s="17" t="s">
        <v>334</v>
      </c>
      <c r="G373" s="17" t="s">
        <v>334</v>
      </c>
      <c r="H373" s="17" t="s">
        <v>334</v>
      </c>
      <c r="I373" s="17" t="s">
        <v>334</v>
      </c>
      <c r="J373" s="17" t="s">
        <v>334</v>
      </c>
      <c r="K373" s="17" t="s">
        <v>334</v>
      </c>
      <c r="L373" s="17" t="s">
        <v>334</v>
      </c>
      <c r="M373" s="17" t="s">
        <v>334</v>
      </c>
    </row>
    <row r="374" spans="1:13" ht="50.1" customHeight="1" x14ac:dyDescent="0.3">
      <c r="A374" s="17" t="s">
        <v>222</v>
      </c>
      <c r="B374" s="17" t="s">
        <v>222</v>
      </c>
      <c r="C374" s="17" t="s">
        <v>222</v>
      </c>
      <c r="D374" s="17" t="s">
        <v>335</v>
      </c>
      <c r="E374" s="17" t="s">
        <v>335</v>
      </c>
      <c r="F374" s="17" t="s">
        <v>335</v>
      </c>
      <c r="G374" s="17" t="s">
        <v>335</v>
      </c>
      <c r="H374" s="17" t="s">
        <v>335</v>
      </c>
      <c r="I374" s="17" t="s">
        <v>335</v>
      </c>
      <c r="J374" s="17" t="s">
        <v>335</v>
      </c>
      <c r="K374" s="17" t="s">
        <v>335</v>
      </c>
      <c r="L374" s="17" t="s">
        <v>335</v>
      </c>
      <c r="M374" s="17" t="s">
        <v>335</v>
      </c>
    </row>
    <row r="375" spans="1:13" ht="50.1" customHeight="1" x14ac:dyDescent="0.3">
      <c r="A375" s="17" t="s">
        <v>265</v>
      </c>
      <c r="B375" s="17" t="s">
        <v>265</v>
      </c>
      <c r="C375" s="17" t="s">
        <v>265</v>
      </c>
      <c r="D375" s="17" t="s">
        <v>336</v>
      </c>
      <c r="E375" s="17" t="s">
        <v>336</v>
      </c>
      <c r="F375" s="17" t="s">
        <v>336</v>
      </c>
      <c r="G375" s="17" t="s">
        <v>336</v>
      </c>
      <c r="H375" s="17" t="s">
        <v>336</v>
      </c>
      <c r="I375" s="17" t="s">
        <v>336</v>
      </c>
      <c r="J375" s="17" t="s">
        <v>336</v>
      </c>
      <c r="K375" s="17" t="s">
        <v>336</v>
      </c>
      <c r="L375" s="17" t="s">
        <v>336</v>
      </c>
      <c r="M375" s="17" t="s">
        <v>336</v>
      </c>
    </row>
    <row r="376" spans="1:13" ht="50.1" customHeight="1" x14ac:dyDescent="0.3">
      <c r="A376" s="17" t="s">
        <v>225</v>
      </c>
      <c r="B376" s="17" t="s">
        <v>225</v>
      </c>
      <c r="C376" s="17" t="s">
        <v>225</v>
      </c>
      <c r="D376" s="17" t="s">
        <v>337</v>
      </c>
      <c r="E376" s="17" t="s">
        <v>337</v>
      </c>
      <c r="F376" s="17" t="s">
        <v>337</v>
      </c>
      <c r="G376" s="17" t="s">
        <v>337</v>
      </c>
      <c r="H376" s="17" t="s">
        <v>337</v>
      </c>
      <c r="I376" s="17" t="s">
        <v>337</v>
      </c>
      <c r="J376" s="17" t="s">
        <v>337</v>
      </c>
      <c r="K376" s="17" t="s">
        <v>337</v>
      </c>
      <c r="L376" s="17" t="s">
        <v>337</v>
      </c>
      <c r="M376" s="17" t="s">
        <v>337</v>
      </c>
    </row>
    <row r="377" spans="1:13" ht="50.1" customHeight="1" x14ac:dyDescent="0.3">
      <c r="A377" s="17" t="s">
        <v>223</v>
      </c>
      <c r="B377" s="17" t="s">
        <v>223</v>
      </c>
      <c r="C377" s="17" t="s">
        <v>223</v>
      </c>
      <c r="D377" s="17" t="s">
        <v>338</v>
      </c>
      <c r="E377" s="17" t="s">
        <v>338</v>
      </c>
      <c r="F377" s="17" t="s">
        <v>338</v>
      </c>
      <c r="G377" s="17" t="s">
        <v>338</v>
      </c>
      <c r="H377" s="17" t="s">
        <v>338</v>
      </c>
      <c r="I377" s="17" t="s">
        <v>338</v>
      </c>
      <c r="J377" s="17" t="s">
        <v>338</v>
      </c>
      <c r="K377" s="17" t="s">
        <v>338</v>
      </c>
      <c r="L377" s="17" t="s">
        <v>338</v>
      </c>
      <c r="M377" s="17" t="s">
        <v>338</v>
      </c>
    </row>
    <row r="378" spans="1:13" ht="50.1" customHeight="1" x14ac:dyDescent="0.3">
      <c r="A378" s="17" t="s">
        <v>228</v>
      </c>
      <c r="B378" s="17" t="s">
        <v>228</v>
      </c>
      <c r="C378" s="17" t="s">
        <v>228</v>
      </c>
      <c r="D378" s="17" t="s">
        <v>339</v>
      </c>
      <c r="E378" s="17" t="s">
        <v>339</v>
      </c>
      <c r="F378" s="17" t="s">
        <v>339</v>
      </c>
      <c r="G378" s="17" t="s">
        <v>339</v>
      </c>
      <c r="H378" s="17" t="s">
        <v>339</v>
      </c>
      <c r="I378" s="17" t="s">
        <v>339</v>
      </c>
      <c r="J378" s="17" t="s">
        <v>339</v>
      </c>
      <c r="K378" s="17" t="s">
        <v>339</v>
      </c>
      <c r="L378" s="17" t="s">
        <v>339</v>
      </c>
      <c r="M378" s="17" t="s">
        <v>339</v>
      </c>
    </row>
    <row r="379" spans="1:13" ht="50.1" customHeight="1" x14ac:dyDescent="0.3">
      <c r="A379" s="17" t="s">
        <v>249</v>
      </c>
      <c r="B379" s="17" t="s">
        <v>249</v>
      </c>
      <c r="C379" s="17" t="s">
        <v>249</v>
      </c>
      <c r="D379" s="17" t="s">
        <v>340</v>
      </c>
      <c r="E379" s="17" t="s">
        <v>340</v>
      </c>
      <c r="F379" s="17" t="s">
        <v>340</v>
      </c>
      <c r="G379" s="17" t="s">
        <v>340</v>
      </c>
      <c r="H379" s="17" t="s">
        <v>340</v>
      </c>
      <c r="I379" s="17" t="s">
        <v>340</v>
      </c>
      <c r="J379" s="17" t="s">
        <v>340</v>
      </c>
      <c r="K379" s="17" t="s">
        <v>340</v>
      </c>
      <c r="L379" s="17" t="s">
        <v>340</v>
      </c>
      <c r="M379" s="17" t="s">
        <v>340</v>
      </c>
    </row>
    <row r="380" spans="1:13" ht="50.1" customHeight="1" x14ac:dyDescent="0.3">
      <c r="A380" s="17" t="s">
        <v>252</v>
      </c>
      <c r="B380" s="17" t="s">
        <v>252</v>
      </c>
      <c r="C380" s="17" t="s">
        <v>252</v>
      </c>
      <c r="D380" s="17" t="s">
        <v>341</v>
      </c>
      <c r="E380" s="17" t="s">
        <v>341</v>
      </c>
      <c r="F380" s="17" t="s">
        <v>341</v>
      </c>
      <c r="G380" s="17" t="s">
        <v>341</v>
      </c>
      <c r="H380" s="17" t="s">
        <v>341</v>
      </c>
      <c r="I380" s="17" t="s">
        <v>341</v>
      </c>
      <c r="J380" s="17" t="s">
        <v>341</v>
      </c>
      <c r="K380" s="17" t="s">
        <v>341</v>
      </c>
      <c r="L380" s="17" t="s">
        <v>341</v>
      </c>
      <c r="M380" s="17" t="s">
        <v>341</v>
      </c>
    </row>
    <row r="381" spans="1:13" ht="50.1" customHeight="1" x14ac:dyDescent="0.3">
      <c r="A381" s="17" t="s">
        <v>226</v>
      </c>
      <c r="B381" s="17" t="s">
        <v>226</v>
      </c>
      <c r="C381" s="17" t="s">
        <v>226</v>
      </c>
      <c r="D381" s="17" t="s">
        <v>342</v>
      </c>
      <c r="E381" s="17" t="s">
        <v>342</v>
      </c>
      <c r="F381" s="17" t="s">
        <v>342</v>
      </c>
      <c r="G381" s="17" t="s">
        <v>342</v>
      </c>
      <c r="H381" s="17" t="s">
        <v>342</v>
      </c>
      <c r="I381" s="17" t="s">
        <v>342</v>
      </c>
      <c r="J381" s="17" t="s">
        <v>342</v>
      </c>
      <c r="K381" s="17" t="s">
        <v>342</v>
      </c>
      <c r="L381" s="17" t="s">
        <v>342</v>
      </c>
      <c r="M381" s="17" t="s">
        <v>342</v>
      </c>
    </row>
    <row r="382" spans="1:13" ht="50.1" customHeight="1" x14ac:dyDescent="0.3">
      <c r="A382" s="17" t="s">
        <v>266</v>
      </c>
      <c r="B382" s="17" t="s">
        <v>266</v>
      </c>
      <c r="C382" s="17" t="s">
        <v>266</v>
      </c>
      <c r="D382" s="17" t="s">
        <v>343</v>
      </c>
      <c r="E382" s="17" t="s">
        <v>343</v>
      </c>
      <c r="F382" s="17" t="s">
        <v>343</v>
      </c>
      <c r="G382" s="17" t="s">
        <v>343</v>
      </c>
      <c r="H382" s="17" t="s">
        <v>343</v>
      </c>
      <c r="I382" s="17" t="s">
        <v>343</v>
      </c>
      <c r="J382" s="17" t="s">
        <v>343</v>
      </c>
      <c r="K382" s="17" t="s">
        <v>343</v>
      </c>
      <c r="L382" s="17" t="s">
        <v>343</v>
      </c>
      <c r="M382" s="17" t="s">
        <v>343</v>
      </c>
    </row>
    <row r="383" spans="1:13" ht="50.1" customHeight="1" x14ac:dyDescent="0.3">
      <c r="A383" s="17" t="s">
        <v>264</v>
      </c>
      <c r="B383" s="17" t="s">
        <v>264</v>
      </c>
      <c r="C383" s="17" t="s">
        <v>264</v>
      </c>
      <c r="D383" s="17" t="s">
        <v>344</v>
      </c>
      <c r="E383" s="17" t="s">
        <v>344</v>
      </c>
      <c r="F383" s="17" t="s">
        <v>344</v>
      </c>
      <c r="G383" s="17" t="s">
        <v>344</v>
      </c>
      <c r="H383" s="17" t="s">
        <v>344</v>
      </c>
      <c r="I383" s="17" t="s">
        <v>344</v>
      </c>
      <c r="J383" s="17" t="s">
        <v>344</v>
      </c>
      <c r="K383" s="17" t="s">
        <v>344</v>
      </c>
      <c r="L383" s="17" t="s">
        <v>344</v>
      </c>
      <c r="M383" s="17" t="s">
        <v>344</v>
      </c>
    </row>
    <row r="384" spans="1:13" ht="50.1" customHeight="1" x14ac:dyDescent="0.3">
      <c r="A384" s="17" t="s">
        <v>255</v>
      </c>
      <c r="B384" s="17" t="s">
        <v>255</v>
      </c>
      <c r="C384" s="17" t="s">
        <v>255</v>
      </c>
      <c r="D384" s="17" t="s">
        <v>345</v>
      </c>
      <c r="E384" s="17" t="s">
        <v>345</v>
      </c>
      <c r="F384" s="17" t="s">
        <v>345</v>
      </c>
      <c r="G384" s="17" t="s">
        <v>345</v>
      </c>
      <c r="H384" s="17" t="s">
        <v>345</v>
      </c>
      <c r="I384" s="17" t="s">
        <v>345</v>
      </c>
      <c r="J384" s="17" t="s">
        <v>345</v>
      </c>
      <c r="K384" s="17" t="s">
        <v>345</v>
      </c>
      <c r="L384" s="17" t="s">
        <v>345</v>
      </c>
      <c r="M384" s="17" t="s">
        <v>345</v>
      </c>
    </row>
    <row r="385" spans="1:13" ht="50.1" customHeight="1" x14ac:dyDescent="0.3">
      <c r="A385" s="17" t="s">
        <v>248</v>
      </c>
      <c r="B385" s="17" t="s">
        <v>248</v>
      </c>
      <c r="C385" s="17" t="s">
        <v>248</v>
      </c>
      <c r="D385" s="17" t="s">
        <v>346</v>
      </c>
      <c r="E385" s="17" t="s">
        <v>346</v>
      </c>
      <c r="F385" s="17" t="s">
        <v>346</v>
      </c>
      <c r="G385" s="17" t="s">
        <v>346</v>
      </c>
      <c r="H385" s="17" t="s">
        <v>346</v>
      </c>
      <c r="I385" s="17" t="s">
        <v>346</v>
      </c>
      <c r="J385" s="17" t="s">
        <v>346</v>
      </c>
      <c r="K385" s="17" t="s">
        <v>346</v>
      </c>
      <c r="L385" s="17" t="s">
        <v>346</v>
      </c>
      <c r="M385" s="17" t="s">
        <v>346</v>
      </c>
    </row>
    <row r="386" spans="1:13" ht="50.1" customHeight="1" x14ac:dyDescent="0.3">
      <c r="A386" s="17" t="s">
        <v>258</v>
      </c>
      <c r="B386" s="17" t="s">
        <v>258</v>
      </c>
      <c r="C386" s="17" t="s">
        <v>258</v>
      </c>
      <c r="D386" s="17" t="s">
        <v>347</v>
      </c>
      <c r="E386" s="17" t="s">
        <v>347</v>
      </c>
      <c r="F386" s="17" t="s">
        <v>347</v>
      </c>
      <c r="G386" s="17" t="s">
        <v>347</v>
      </c>
      <c r="H386" s="17" t="s">
        <v>347</v>
      </c>
      <c r="I386" s="17" t="s">
        <v>347</v>
      </c>
      <c r="J386" s="17" t="s">
        <v>347</v>
      </c>
      <c r="K386" s="17" t="s">
        <v>347</v>
      </c>
      <c r="L386" s="17" t="s">
        <v>347</v>
      </c>
      <c r="M386" s="17" t="s">
        <v>347</v>
      </c>
    </row>
    <row r="387" spans="1:13" ht="50.1" customHeight="1" x14ac:dyDescent="0.3">
      <c r="A387" s="17" t="s">
        <v>254</v>
      </c>
      <c r="B387" s="17" t="s">
        <v>254</v>
      </c>
      <c r="C387" s="17" t="s">
        <v>254</v>
      </c>
      <c r="D387" s="17" t="s">
        <v>348</v>
      </c>
      <c r="E387" s="17" t="s">
        <v>348</v>
      </c>
      <c r="F387" s="17" t="s">
        <v>348</v>
      </c>
      <c r="G387" s="17" t="s">
        <v>348</v>
      </c>
      <c r="H387" s="17" t="s">
        <v>348</v>
      </c>
      <c r="I387" s="17" t="s">
        <v>348</v>
      </c>
      <c r="J387" s="17" t="s">
        <v>348</v>
      </c>
      <c r="K387" s="17" t="s">
        <v>348</v>
      </c>
      <c r="L387" s="17" t="s">
        <v>348</v>
      </c>
      <c r="M387" s="17" t="s">
        <v>348</v>
      </c>
    </row>
    <row r="388" spans="1:13" ht="50.1" customHeight="1" x14ac:dyDescent="0.3">
      <c r="A388" s="17" t="s">
        <v>253</v>
      </c>
      <c r="B388" s="17" t="s">
        <v>253</v>
      </c>
      <c r="C388" s="17" t="s">
        <v>253</v>
      </c>
      <c r="D388" s="17" t="s">
        <v>349</v>
      </c>
      <c r="E388" s="17" t="s">
        <v>349</v>
      </c>
      <c r="F388" s="17" t="s">
        <v>349</v>
      </c>
      <c r="G388" s="17" t="s">
        <v>349</v>
      </c>
      <c r="H388" s="17" t="s">
        <v>349</v>
      </c>
      <c r="I388" s="17" t="s">
        <v>349</v>
      </c>
      <c r="J388" s="17" t="s">
        <v>349</v>
      </c>
      <c r="K388" s="17" t="s">
        <v>349</v>
      </c>
      <c r="L388" s="17" t="s">
        <v>349</v>
      </c>
      <c r="M388" s="17" t="s">
        <v>349</v>
      </c>
    </row>
    <row r="389" spans="1:13" ht="50.1" customHeight="1" x14ac:dyDescent="0.3">
      <c r="A389" s="17" t="s">
        <v>261</v>
      </c>
      <c r="B389" s="17" t="s">
        <v>261</v>
      </c>
      <c r="C389" s="17" t="s">
        <v>261</v>
      </c>
      <c r="D389" s="17" t="s">
        <v>350</v>
      </c>
      <c r="E389" s="17" t="s">
        <v>350</v>
      </c>
      <c r="F389" s="17" t="s">
        <v>350</v>
      </c>
      <c r="G389" s="17" t="s">
        <v>350</v>
      </c>
      <c r="H389" s="17" t="s">
        <v>350</v>
      </c>
      <c r="I389" s="17" t="s">
        <v>350</v>
      </c>
      <c r="J389" s="17" t="s">
        <v>350</v>
      </c>
      <c r="K389" s="17" t="s">
        <v>350</v>
      </c>
      <c r="L389" s="17" t="s">
        <v>350</v>
      </c>
      <c r="M389" s="17" t="s">
        <v>350</v>
      </c>
    </row>
    <row r="390" spans="1:13" ht="50.1" customHeight="1" x14ac:dyDescent="0.3">
      <c r="A390" s="17" t="s">
        <v>260</v>
      </c>
      <c r="B390" s="17" t="s">
        <v>260</v>
      </c>
      <c r="C390" s="17" t="s">
        <v>260</v>
      </c>
      <c r="D390" s="17" t="s">
        <v>351</v>
      </c>
      <c r="E390" s="17" t="s">
        <v>351</v>
      </c>
      <c r="F390" s="17" t="s">
        <v>351</v>
      </c>
      <c r="G390" s="17" t="s">
        <v>351</v>
      </c>
      <c r="H390" s="17" t="s">
        <v>351</v>
      </c>
      <c r="I390" s="17" t="s">
        <v>351</v>
      </c>
      <c r="J390" s="17" t="s">
        <v>351</v>
      </c>
      <c r="K390" s="17" t="s">
        <v>351</v>
      </c>
      <c r="L390" s="17" t="s">
        <v>351</v>
      </c>
      <c r="M390" s="17" t="s">
        <v>351</v>
      </c>
    </row>
    <row r="391" spans="1:13" ht="50.1" customHeight="1" x14ac:dyDescent="0.3">
      <c r="A391" s="17" t="s">
        <v>257</v>
      </c>
      <c r="B391" s="17" t="s">
        <v>257</v>
      </c>
      <c r="C391" s="17" t="s">
        <v>257</v>
      </c>
      <c r="D391" s="17" t="s">
        <v>352</v>
      </c>
      <c r="E391" s="17" t="s">
        <v>352</v>
      </c>
      <c r="F391" s="17" t="s">
        <v>352</v>
      </c>
      <c r="G391" s="17" t="s">
        <v>352</v>
      </c>
      <c r="H391" s="17" t="s">
        <v>352</v>
      </c>
      <c r="I391" s="17" t="s">
        <v>352</v>
      </c>
      <c r="J391" s="17" t="s">
        <v>352</v>
      </c>
      <c r="K391" s="17" t="s">
        <v>352</v>
      </c>
      <c r="L391" s="17" t="s">
        <v>352</v>
      </c>
      <c r="M391" s="17" t="s">
        <v>352</v>
      </c>
    </row>
    <row r="392" spans="1:13" ht="50.1" customHeight="1" x14ac:dyDescent="0.3">
      <c r="A392" s="17" t="s">
        <v>259</v>
      </c>
      <c r="B392" s="17" t="s">
        <v>259</v>
      </c>
      <c r="C392" s="17" t="s">
        <v>259</v>
      </c>
      <c r="D392" s="17" t="s">
        <v>353</v>
      </c>
      <c r="E392" s="17" t="s">
        <v>353</v>
      </c>
      <c r="F392" s="17" t="s">
        <v>353</v>
      </c>
      <c r="G392" s="17" t="s">
        <v>353</v>
      </c>
      <c r="H392" s="17" t="s">
        <v>353</v>
      </c>
      <c r="I392" s="17" t="s">
        <v>353</v>
      </c>
      <c r="J392" s="17" t="s">
        <v>353</v>
      </c>
      <c r="K392" s="17" t="s">
        <v>353</v>
      </c>
      <c r="L392" s="17" t="s">
        <v>353</v>
      </c>
      <c r="M392" s="17" t="s">
        <v>353</v>
      </c>
    </row>
  </sheetData>
  <mergeCells count="1117">
    <mergeCell ref="A392:C392"/>
    <mergeCell ref="D392:M392"/>
    <mergeCell ref="A389:C389"/>
    <mergeCell ref="D389:M389"/>
    <mergeCell ref="A390:C390"/>
    <mergeCell ref="D390:M390"/>
    <mergeCell ref="A391:C391"/>
    <mergeCell ref="D391:M391"/>
    <mergeCell ref="A386:C386"/>
    <mergeCell ref="D386:M386"/>
    <mergeCell ref="A387:C387"/>
    <mergeCell ref="D387:M387"/>
    <mergeCell ref="A388:C388"/>
    <mergeCell ref="D388:M388"/>
    <mergeCell ref="A383:C383"/>
    <mergeCell ref="D383:M383"/>
    <mergeCell ref="A384:C384"/>
    <mergeCell ref="D384:M384"/>
    <mergeCell ref="A385:C385"/>
    <mergeCell ref="D385:M385"/>
    <mergeCell ref="A380:C380"/>
    <mergeCell ref="D380:M380"/>
    <mergeCell ref="A381:C381"/>
    <mergeCell ref="D381:M381"/>
    <mergeCell ref="A382:C382"/>
    <mergeCell ref="D382:M382"/>
    <mergeCell ref="A377:C377"/>
    <mergeCell ref="D377:M377"/>
    <mergeCell ref="A378:C378"/>
    <mergeCell ref="D378:M378"/>
    <mergeCell ref="A379:C379"/>
    <mergeCell ref="D379:M379"/>
    <mergeCell ref="A374:C374"/>
    <mergeCell ref="D374:M374"/>
    <mergeCell ref="A375:C375"/>
    <mergeCell ref="D375:M375"/>
    <mergeCell ref="A376:C376"/>
    <mergeCell ref="D376:M376"/>
    <mergeCell ref="A371:C371"/>
    <mergeCell ref="D371:M371"/>
    <mergeCell ref="A372:C372"/>
    <mergeCell ref="D372:M372"/>
    <mergeCell ref="A373:C373"/>
    <mergeCell ref="D373:M373"/>
    <mergeCell ref="A368:C368"/>
    <mergeCell ref="D368:M368"/>
    <mergeCell ref="A369:C369"/>
    <mergeCell ref="D369:M369"/>
    <mergeCell ref="A370:C370"/>
    <mergeCell ref="D370:M370"/>
    <mergeCell ref="A365:C365"/>
    <mergeCell ref="D365:M365"/>
    <mergeCell ref="A366:C366"/>
    <mergeCell ref="D366:M366"/>
    <mergeCell ref="A367:C367"/>
    <mergeCell ref="D367:M367"/>
    <mergeCell ref="A362:C362"/>
    <mergeCell ref="D362:M362"/>
    <mergeCell ref="A363:C363"/>
    <mergeCell ref="D363:M363"/>
    <mergeCell ref="A364:C364"/>
    <mergeCell ref="D364:M364"/>
    <mergeCell ref="A359:C359"/>
    <mergeCell ref="D359:M359"/>
    <mergeCell ref="A360:C360"/>
    <mergeCell ref="D360:M360"/>
    <mergeCell ref="A361:C361"/>
    <mergeCell ref="D361:M361"/>
    <mergeCell ref="A356:C356"/>
    <mergeCell ref="D356:M356"/>
    <mergeCell ref="A357:C357"/>
    <mergeCell ref="D357:M357"/>
    <mergeCell ref="A358:C358"/>
    <mergeCell ref="D358:M358"/>
    <mergeCell ref="A353:C353"/>
    <mergeCell ref="D353:M353"/>
    <mergeCell ref="A354:C354"/>
    <mergeCell ref="D354:M354"/>
    <mergeCell ref="A355:C355"/>
    <mergeCell ref="D355:M355"/>
    <mergeCell ref="A350:C350"/>
    <mergeCell ref="D350:M350"/>
    <mergeCell ref="A351:C351"/>
    <mergeCell ref="D351:M351"/>
    <mergeCell ref="A352:C352"/>
    <mergeCell ref="D352:M352"/>
    <mergeCell ref="A347:C347"/>
    <mergeCell ref="D347:M347"/>
    <mergeCell ref="A348:C348"/>
    <mergeCell ref="D348:M348"/>
    <mergeCell ref="A349:C349"/>
    <mergeCell ref="D349:M349"/>
    <mergeCell ref="A344:C344"/>
    <mergeCell ref="D344:M344"/>
    <mergeCell ref="A345:C345"/>
    <mergeCell ref="D345:M345"/>
    <mergeCell ref="A346:C346"/>
    <mergeCell ref="D346:M346"/>
    <mergeCell ref="A341:C341"/>
    <mergeCell ref="D341:M341"/>
    <mergeCell ref="A342:C342"/>
    <mergeCell ref="D342:M342"/>
    <mergeCell ref="A343:C343"/>
    <mergeCell ref="D343:M343"/>
    <mergeCell ref="A338:C338"/>
    <mergeCell ref="D338:M338"/>
    <mergeCell ref="A339:C339"/>
    <mergeCell ref="D339:M339"/>
    <mergeCell ref="A340:C340"/>
    <mergeCell ref="D340:M340"/>
    <mergeCell ref="A335:C335"/>
    <mergeCell ref="D335:M335"/>
    <mergeCell ref="A336:C336"/>
    <mergeCell ref="D336:M336"/>
    <mergeCell ref="A337:C337"/>
    <mergeCell ref="D337:M337"/>
    <mergeCell ref="A332:C332"/>
    <mergeCell ref="D332:M332"/>
    <mergeCell ref="A333:C333"/>
    <mergeCell ref="D333:M333"/>
    <mergeCell ref="A334:C334"/>
    <mergeCell ref="D334:M334"/>
    <mergeCell ref="A329:C329"/>
    <mergeCell ref="D329:M329"/>
    <mergeCell ref="A330:C330"/>
    <mergeCell ref="D330:M330"/>
    <mergeCell ref="A331:C331"/>
    <mergeCell ref="D331:M331"/>
    <mergeCell ref="A326:C326"/>
    <mergeCell ref="D326:M326"/>
    <mergeCell ref="A327:C327"/>
    <mergeCell ref="D327:M327"/>
    <mergeCell ref="A328:C328"/>
    <mergeCell ref="D328:M328"/>
    <mergeCell ref="A323:C323"/>
    <mergeCell ref="D323:M323"/>
    <mergeCell ref="A324:C324"/>
    <mergeCell ref="D324:M324"/>
    <mergeCell ref="A325:C325"/>
    <mergeCell ref="D325:M325"/>
    <mergeCell ref="A320:C320"/>
    <mergeCell ref="D320:M320"/>
    <mergeCell ref="A321:C321"/>
    <mergeCell ref="D321:M321"/>
    <mergeCell ref="A322:C322"/>
    <mergeCell ref="D322:M322"/>
    <mergeCell ref="A317:C317"/>
    <mergeCell ref="D317:M317"/>
    <mergeCell ref="A318:C318"/>
    <mergeCell ref="D318:M318"/>
    <mergeCell ref="A319:C319"/>
    <mergeCell ref="D319:M319"/>
    <mergeCell ref="A314:C314"/>
    <mergeCell ref="D314:M314"/>
    <mergeCell ref="A315:C315"/>
    <mergeCell ref="D315:M315"/>
    <mergeCell ref="A316:C316"/>
    <mergeCell ref="D316:M316"/>
    <mergeCell ref="A311:C311"/>
    <mergeCell ref="D311:M311"/>
    <mergeCell ref="A312:C312"/>
    <mergeCell ref="D312:M312"/>
    <mergeCell ref="A313:C313"/>
    <mergeCell ref="D313:M313"/>
    <mergeCell ref="A308:C308"/>
    <mergeCell ref="D308:M308"/>
    <mergeCell ref="A309:C309"/>
    <mergeCell ref="D309:M309"/>
    <mergeCell ref="A310:C310"/>
    <mergeCell ref="D310:M310"/>
    <mergeCell ref="A305:C305"/>
    <mergeCell ref="D305:M305"/>
    <mergeCell ref="A306:C306"/>
    <mergeCell ref="D306:M306"/>
    <mergeCell ref="A307:C307"/>
    <mergeCell ref="D307:M307"/>
    <mergeCell ref="A302:C302"/>
    <mergeCell ref="D302:M302"/>
    <mergeCell ref="A303:C303"/>
    <mergeCell ref="D303:M303"/>
    <mergeCell ref="A304:C304"/>
    <mergeCell ref="D304:M304"/>
    <mergeCell ref="A299:B299"/>
    <mergeCell ref="C299:D299"/>
    <mergeCell ref="E299:F299"/>
    <mergeCell ref="G299:H299"/>
    <mergeCell ref="L299:M299"/>
    <mergeCell ref="A298:B298"/>
    <mergeCell ref="C298:D298"/>
    <mergeCell ref="E298:F298"/>
    <mergeCell ref="G298:H298"/>
    <mergeCell ref="L298:M298"/>
    <mergeCell ref="A297:B297"/>
    <mergeCell ref="C297:D297"/>
    <mergeCell ref="E297:F297"/>
    <mergeCell ref="G297:H297"/>
    <mergeCell ref="L297:M297"/>
    <mergeCell ref="A296:B296"/>
    <mergeCell ref="C296:D296"/>
    <mergeCell ref="E296:F296"/>
    <mergeCell ref="G296:H296"/>
    <mergeCell ref="L296:M296"/>
    <mergeCell ref="A295:B295"/>
    <mergeCell ref="C295:D295"/>
    <mergeCell ref="E295:F295"/>
    <mergeCell ref="G295:H295"/>
    <mergeCell ref="L295:M295"/>
    <mergeCell ref="A294:B294"/>
    <mergeCell ref="C294:D294"/>
    <mergeCell ref="E294:F294"/>
    <mergeCell ref="G294:H294"/>
    <mergeCell ref="L294:M294"/>
    <mergeCell ref="A293:B293"/>
    <mergeCell ref="C293:D293"/>
    <mergeCell ref="E293:F293"/>
    <mergeCell ref="G293:H293"/>
    <mergeCell ref="L293:M293"/>
    <mergeCell ref="A292:B292"/>
    <mergeCell ref="C292:D292"/>
    <mergeCell ref="E292:F292"/>
    <mergeCell ref="G292:H292"/>
    <mergeCell ref="L292:M292"/>
    <mergeCell ref="A291:B291"/>
    <mergeCell ref="C291:D291"/>
    <mergeCell ref="E291:F291"/>
    <mergeCell ref="G291:H291"/>
    <mergeCell ref="L291:M291"/>
    <mergeCell ref="A290:B290"/>
    <mergeCell ref="C290:D290"/>
    <mergeCell ref="E290:F290"/>
    <mergeCell ref="G290:H290"/>
    <mergeCell ref="L290:M290"/>
    <mergeCell ref="A289:B289"/>
    <mergeCell ref="C289:D289"/>
    <mergeCell ref="E289:F289"/>
    <mergeCell ref="G289:H289"/>
    <mergeCell ref="L289:M289"/>
    <mergeCell ref="A288:B288"/>
    <mergeCell ref="C288:D288"/>
    <mergeCell ref="E288:F288"/>
    <mergeCell ref="G288:H288"/>
    <mergeCell ref="L288:M288"/>
    <mergeCell ref="A287:B287"/>
    <mergeCell ref="C287:D287"/>
    <mergeCell ref="E287:F287"/>
    <mergeCell ref="G287:H287"/>
    <mergeCell ref="L287:M287"/>
    <mergeCell ref="A286:B286"/>
    <mergeCell ref="C286:D286"/>
    <mergeCell ref="E286:F286"/>
    <mergeCell ref="G286:H286"/>
    <mergeCell ref="L286:M286"/>
    <mergeCell ref="A285:B285"/>
    <mergeCell ref="C285:D285"/>
    <mergeCell ref="E285:F285"/>
    <mergeCell ref="G285:H285"/>
    <mergeCell ref="L285:M285"/>
    <mergeCell ref="A284:B284"/>
    <mergeCell ref="C284:D284"/>
    <mergeCell ref="E284:F284"/>
    <mergeCell ref="G284:H284"/>
    <mergeCell ref="L284:M284"/>
    <mergeCell ref="A283:B283"/>
    <mergeCell ref="C283:D283"/>
    <mergeCell ref="E283:F283"/>
    <mergeCell ref="G283:H283"/>
    <mergeCell ref="L283:M283"/>
    <mergeCell ref="A282:B282"/>
    <mergeCell ref="C282:D282"/>
    <mergeCell ref="E282:F282"/>
    <mergeCell ref="G282:H282"/>
    <mergeCell ref="L282:M282"/>
    <mergeCell ref="A281:B281"/>
    <mergeCell ref="C281:D281"/>
    <mergeCell ref="E281:F281"/>
    <mergeCell ref="G281:H281"/>
    <mergeCell ref="L281:M281"/>
    <mergeCell ref="A280:B280"/>
    <mergeCell ref="C280:D280"/>
    <mergeCell ref="E280:F280"/>
    <mergeCell ref="G280:H280"/>
    <mergeCell ref="L280:M280"/>
    <mergeCell ref="A279:B279"/>
    <mergeCell ref="C279:D279"/>
    <mergeCell ref="E279:F279"/>
    <mergeCell ref="G279:H279"/>
    <mergeCell ref="L279:M279"/>
    <mergeCell ref="A278:B278"/>
    <mergeCell ref="C278:D278"/>
    <mergeCell ref="E278:F278"/>
    <mergeCell ref="G278:H278"/>
    <mergeCell ref="L278:M278"/>
    <mergeCell ref="A277:B277"/>
    <mergeCell ref="C277:D277"/>
    <mergeCell ref="E277:F277"/>
    <mergeCell ref="G277:H277"/>
    <mergeCell ref="L277:M277"/>
    <mergeCell ref="A276:B276"/>
    <mergeCell ref="C276:D276"/>
    <mergeCell ref="E276:F276"/>
    <mergeCell ref="G276:H276"/>
    <mergeCell ref="L276:M276"/>
    <mergeCell ref="A275:B275"/>
    <mergeCell ref="C275:D275"/>
    <mergeCell ref="E275:F275"/>
    <mergeCell ref="G275:H275"/>
    <mergeCell ref="L275:M275"/>
    <mergeCell ref="A274:B274"/>
    <mergeCell ref="C274:D274"/>
    <mergeCell ref="E274:F274"/>
    <mergeCell ref="G274:H274"/>
    <mergeCell ref="L274:M274"/>
    <mergeCell ref="A273:B273"/>
    <mergeCell ref="C273:D273"/>
    <mergeCell ref="E273:F273"/>
    <mergeCell ref="G273:H273"/>
    <mergeCell ref="L273:M273"/>
    <mergeCell ref="A272:B272"/>
    <mergeCell ref="C272:D272"/>
    <mergeCell ref="E272:F272"/>
    <mergeCell ref="G272:H272"/>
    <mergeCell ref="L272:M272"/>
    <mergeCell ref="A271:B271"/>
    <mergeCell ref="C271:D271"/>
    <mergeCell ref="E271:F271"/>
    <mergeCell ref="G271:H271"/>
    <mergeCell ref="L271:M271"/>
    <mergeCell ref="A270:B270"/>
    <mergeCell ref="C270:D270"/>
    <mergeCell ref="E270:F270"/>
    <mergeCell ref="G270:H270"/>
    <mergeCell ref="L270:M270"/>
    <mergeCell ref="A269:B269"/>
    <mergeCell ref="C269:D269"/>
    <mergeCell ref="E269:F269"/>
    <mergeCell ref="G269:H269"/>
    <mergeCell ref="L269:M269"/>
    <mergeCell ref="A265:B265"/>
    <mergeCell ref="C265:D265"/>
    <mergeCell ref="E265:F265"/>
    <mergeCell ref="G265:H265"/>
    <mergeCell ref="L265:M265"/>
    <mergeCell ref="A264:B264"/>
    <mergeCell ref="C264:D264"/>
    <mergeCell ref="E264:F264"/>
    <mergeCell ref="G264:H264"/>
    <mergeCell ref="L264:M264"/>
    <mergeCell ref="A263:B263"/>
    <mergeCell ref="C263:D263"/>
    <mergeCell ref="E263:F263"/>
    <mergeCell ref="G263:H263"/>
    <mergeCell ref="L263:M263"/>
    <mergeCell ref="A262:B262"/>
    <mergeCell ref="C262:D262"/>
    <mergeCell ref="E262:F262"/>
    <mergeCell ref="G262:H262"/>
    <mergeCell ref="L262:M262"/>
    <mergeCell ref="A261:B261"/>
    <mergeCell ref="C261:D261"/>
    <mergeCell ref="E261:F261"/>
    <mergeCell ref="G261:H261"/>
    <mergeCell ref="L261:M261"/>
    <mergeCell ref="A260:B260"/>
    <mergeCell ref="C260:D260"/>
    <mergeCell ref="E260:F260"/>
    <mergeCell ref="G260:H260"/>
    <mergeCell ref="L260:M260"/>
    <mergeCell ref="A259:B259"/>
    <mergeCell ref="C259:D259"/>
    <mergeCell ref="E259:F259"/>
    <mergeCell ref="G259:H259"/>
    <mergeCell ref="L259:M259"/>
    <mergeCell ref="A258:B258"/>
    <mergeCell ref="C258:D258"/>
    <mergeCell ref="E258:F258"/>
    <mergeCell ref="G258:H258"/>
    <mergeCell ref="L258:M258"/>
    <mergeCell ref="A257:B257"/>
    <mergeCell ref="C257:D257"/>
    <mergeCell ref="E257:F257"/>
    <mergeCell ref="G257:H257"/>
    <mergeCell ref="L257:M257"/>
    <mergeCell ref="A256:B256"/>
    <mergeCell ref="C256:D256"/>
    <mergeCell ref="E256:F256"/>
    <mergeCell ref="G256:H256"/>
    <mergeCell ref="L256:M256"/>
    <mergeCell ref="A255:B255"/>
    <mergeCell ref="C255:D255"/>
    <mergeCell ref="E255:F255"/>
    <mergeCell ref="G255:H255"/>
    <mergeCell ref="L255:M255"/>
    <mergeCell ref="A254:B254"/>
    <mergeCell ref="C254:D254"/>
    <mergeCell ref="E254:F254"/>
    <mergeCell ref="G254:H254"/>
    <mergeCell ref="L254:M254"/>
    <mergeCell ref="A253:B253"/>
    <mergeCell ref="C253:D253"/>
    <mergeCell ref="E253:F253"/>
    <mergeCell ref="G253:H253"/>
    <mergeCell ref="L253:M253"/>
    <mergeCell ref="A252:B252"/>
    <mergeCell ref="C252:D252"/>
    <mergeCell ref="E252:F252"/>
    <mergeCell ref="G252:H252"/>
    <mergeCell ref="L252:M252"/>
    <mergeCell ref="A251:B251"/>
    <mergeCell ref="C251:D251"/>
    <mergeCell ref="E251:F251"/>
    <mergeCell ref="G251:H251"/>
    <mergeCell ref="L251:M251"/>
    <mergeCell ref="A250:B250"/>
    <mergeCell ref="C250:D250"/>
    <mergeCell ref="E250:F250"/>
    <mergeCell ref="G250:H250"/>
    <mergeCell ref="L250:M250"/>
    <mergeCell ref="A249:B249"/>
    <mergeCell ref="C249:D249"/>
    <mergeCell ref="E249:F249"/>
    <mergeCell ref="G249:H249"/>
    <mergeCell ref="L249:M249"/>
    <mergeCell ref="A248:B248"/>
    <mergeCell ref="C248:D248"/>
    <mergeCell ref="E248:F248"/>
    <mergeCell ref="G248:H248"/>
    <mergeCell ref="L248:M248"/>
    <mergeCell ref="A247:B247"/>
    <mergeCell ref="C247:D247"/>
    <mergeCell ref="E247:F247"/>
    <mergeCell ref="G247:H247"/>
    <mergeCell ref="L247:M247"/>
    <mergeCell ref="A246:B246"/>
    <mergeCell ref="C246:D246"/>
    <mergeCell ref="E246:F246"/>
    <mergeCell ref="G246:H246"/>
    <mergeCell ref="L246:M246"/>
    <mergeCell ref="A245:B245"/>
    <mergeCell ref="C245:D245"/>
    <mergeCell ref="E245:F245"/>
    <mergeCell ref="G245:H245"/>
    <mergeCell ref="L245:M245"/>
    <mergeCell ref="A244:B244"/>
    <mergeCell ref="C244:D244"/>
    <mergeCell ref="E244:F244"/>
    <mergeCell ref="G244:H244"/>
    <mergeCell ref="L244:M244"/>
    <mergeCell ref="A243:B243"/>
    <mergeCell ref="C243:D243"/>
    <mergeCell ref="E243:F243"/>
    <mergeCell ref="G243:H243"/>
    <mergeCell ref="L243:M243"/>
    <mergeCell ref="A242:B242"/>
    <mergeCell ref="C242:D242"/>
    <mergeCell ref="E242:F242"/>
    <mergeCell ref="G242:H242"/>
    <mergeCell ref="L242:M242"/>
    <mergeCell ref="A241:B241"/>
    <mergeCell ref="C241:D241"/>
    <mergeCell ref="E241:F241"/>
    <mergeCell ref="G241:H241"/>
    <mergeCell ref="L241:M241"/>
    <mergeCell ref="A240:B240"/>
    <mergeCell ref="C240:D240"/>
    <mergeCell ref="E240:F240"/>
    <mergeCell ref="G240:H240"/>
    <mergeCell ref="L240:M240"/>
    <mergeCell ref="A239:B239"/>
    <mergeCell ref="C239:D239"/>
    <mergeCell ref="E239:F239"/>
    <mergeCell ref="G239:H239"/>
    <mergeCell ref="L239:M239"/>
    <mergeCell ref="A238:B238"/>
    <mergeCell ref="C238:D238"/>
    <mergeCell ref="E238:F238"/>
    <mergeCell ref="G238:H238"/>
    <mergeCell ref="L238:M238"/>
    <mergeCell ref="A237:B237"/>
    <mergeCell ref="C237:D237"/>
    <mergeCell ref="E237:F237"/>
    <mergeCell ref="G237:H237"/>
    <mergeCell ref="L237:M237"/>
    <mergeCell ref="A236:B236"/>
    <mergeCell ref="C236:D236"/>
    <mergeCell ref="E236:F236"/>
    <mergeCell ref="G236:H236"/>
    <mergeCell ref="L236:M236"/>
    <mergeCell ref="A235:B235"/>
    <mergeCell ref="C235:D235"/>
    <mergeCell ref="E235:F235"/>
    <mergeCell ref="G235:H235"/>
    <mergeCell ref="L235:M235"/>
    <mergeCell ref="A231:B231"/>
    <mergeCell ref="C231:D231"/>
    <mergeCell ref="E231:F231"/>
    <mergeCell ref="G231:H231"/>
    <mergeCell ref="L231:M231"/>
    <mergeCell ref="A230:B230"/>
    <mergeCell ref="C230:D230"/>
    <mergeCell ref="E230:F230"/>
    <mergeCell ref="G230:H230"/>
    <mergeCell ref="L230:M230"/>
    <mergeCell ref="A229:B229"/>
    <mergeCell ref="C229:D229"/>
    <mergeCell ref="E229:F229"/>
    <mergeCell ref="G229:H229"/>
    <mergeCell ref="L229:M229"/>
    <mergeCell ref="A228:B228"/>
    <mergeCell ref="C228:D228"/>
    <mergeCell ref="E228:F228"/>
    <mergeCell ref="G228:H228"/>
    <mergeCell ref="L228:M228"/>
    <mergeCell ref="A227:B227"/>
    <mergeCell ref="C227:D227"/>
    <mergeCell ref="E227:F227"/>
    <mergeCell ref="G227:H227"/>
    <mergeCell ref="L227:M227"/>
    <mergeCell ref="A226:B226"/>
    <mergeCell ref="C226:D226"/>
    <mergeCell ref="E226:F226"/>
    <mergeCell ref="G226:H226"/>
    <mergeCell ref="L226:M226"/>
    <mergeCell ref="A225:B225"/>
    <mergeCell ref="C225:D225"/>
    <mergeCell ref="E225:F225"/>
    <mergeCell ref="G225:H225"/>
    <mergeCell ref="L225:M225"/>
    <mergeCell ref="A224:B224"/>
    <mergeCell ref="C224:D224"/>
    <mergeCell ref="E224:F224"/>
    <mergeCell ref="G224:H224"/>
    <mergeCell ref="L224:M224"/>
    <mergeCell ref="A223:B223"/>
    <mergeCell ref="C223:D223"/>
    <mergeCell ref="E223:F223"/>
    <mergeCell ref="G223:H223"/>
    <mergeCell ref="L223:M223"/>
    <mergeCell ref="A222:B222"/>
    <mergeCell ref="C222:D222"/>
    <mergeCell ref="E222:F222"/>
    <mergeCell ref="G222:H222"/>
    <mergeCell ref="L222:M222"/>
    <mergeCell ref="A221:B221"/>
    <mergeCell ref="C221:D221"/>
    <mergeCell ref="E221:F221"/>
    <mergeCell ref="G221:H221"/>
    <mergeCell ref="L221:M221"/>
    <mergeCell ref="A220:B220"/>
    <mergeCell ref="C220:D220"/>
    <mergeCell ref="E220:F220"/>
    <mergeCell ref="G220:H220"/>
    <mergeCell ref="L220:M220"/>
    <mergeCell ref="A219:B219"/>
    <mergeCell ref="C219:D219"/>
    <mergeCell ref="E219:F219"/>
    <mergeCell ref="G219:H219"/>
    <mergeCell ref="L219:M219"/>
    <mergeCell ref="A218:B218"/>
    <mergeCell ref="C218:D218"/>
    <mergeCell ref="E218:F218"/>
    <mergeCell ref="G218:H218"/>
    <mergeCell ref="L218:M218"/>
    <mergeCell ref="A217:B217"/>
    <mergeCell ref="C217:D217"/>
    <mergeCell ref="E217:F217"/>
    <mergeCell ref="G217:H217"/>
    <mergeCell ref="L217:M217"/>
    <mergeCell ref="A216:B216"/>
    <mergeCell ref="C216:D216"/>
    <mergeCell ref="E216:F216"/>
    <mergeCell ref="G216:H216"/>
    <mergeCell ref="L216:M216"/>
    <mergeCell ref="A215:B215"/>
    <mergeCell ref="C215:D215"/>
    <mergeCell ref="E215:F215"/>
    <mergeCell ref="G215:H215"/>
    <mergeCell ref="L215:M215"/>
    <mergeCell ref="A214:B214"/>
    <mergeCell ref="C214:D214"/>
    <mergeCell ref="E214:F214"/>
    <mergeCell ref="G214:H214"/>
    <mergeCell ref="L214:M214"/>
    <mergeCell ref="A213:B213"/>
    <mergeCell ref="C213:D213"/>
    <mergeCell ref="E213:F213"/>
    <mergeCell ref="G213:H213"/>
    <mergeCell ref="L213:M213"/>
    <mergeCell ref="A212:B212"/>
    <mergeCell ref="C212:D212"/>
    <mergeCell ref="E212:F212"/>
    <mergeCell ref="G212:H212"/>
    <mergeCell ref="L212:M212"/>
    <mergeCell ref="A211:B211"/>
    <mergeCell ref="C211:D211"/>
    <mergeCell ref="E211:F211"/>
    <mergeCell ref="G211:H211"/>
    <mergeCell ref="L211:M211"/>
    <mergeCell ref="A210:B210"/>
    <mergeCell ref="C210:D210"/>
    <mergeCell ref="E210:F210"/>
    <mergeCell ref="G210:H210"/>
    <mergeCell ref="L210:M210"/>
    <mergeCell ref="A209:B209"/>
    <mergeCell ref="C209:D209"/>
    <mergeCell ref="E209:F209"/>
    <mergeCell ref="G209:H209"/>
    <mergeCell ref="L209:M209"/>
    <mergeCell ref="A208:B208"/>
    <mergeCell ref="C208:D208"/>
    <mergeCell ref="E208:F208"/>
    <mergeCell ref="G208:H208"/>
    <mergeCell ref="L208:M208"/>
    <mergeCell ref="A207:B207"/>
    <mergeCell ref="C207:D207"/>
    <mergeCell ref="E207:F207"/>
    <mergeCell ref="G207:H207"/>
    <mergeCell ref="L207:M207"/>
    <mergeCell ref="A206:B206"/>
    <mergeCell ref="C206:D206"/>
    <mergeCell ref="E206:F206"/>
    <mergeCell ref="G206:H206"/>
    <mergeCell ref="L206:M206"/>
    <mergeCell ref="A205:B205"/>
    <mergeCell ref="C205:D205"/>
    <mergeCell ref="E205:F205"/>
    <mergeCell ref="G205:H205"/>
    <mergeCell ref="L205:M205"/>
    <mergeCell ref="A204:B204"/>
    <mergeCell ref="C204:D204"/>
    <mergeCell ref="E204:F204"/>
    <mergeCell ref="G204:H204"/>
    <mergeCell ref="L204:M204"/>
    <mergeCell ref="A203:B203"/>
    <mergeCell ref="C203:D203"/>
    <mergeCell ref="E203:F203"/>
    <mergeCell ref="G203:H203"/>
    <mergeCell ref="L203:M203"/>
    <mergeCell ref="A202:B202"/>
    <mergeCell ref="C202:D202"/>
    <mergeCell ref="E202:F202"/>
    <mergeCell ref="G202:H202"/>
    <mergeCell ref="L202:M202"/>
    <mergeCell ref="A201:B201"/>
    <mergeCell ref="C201:D201"/>
    <mergeCell ref="E201:F201"/>
    <mergeCell ref="G201:H201"/>
    <mergeCell ref="L201:M201"/>
    <mergeCell ref="A197:B197"/>
    <mergeCell ref="C197:D197"/>
    <mergeCell ref="E197:F197"/>
    <mergeCell ref="G197:H197"/>
    <mergeCell ref="L197:M197"/>
    <mergeCell ref="A196:B196"/>
    <mergeCell ref="C196:D196"/>
    <mergeCell ref="E196:F196"/>
    <mergeCell ref="G196:H196"/>
    <mergeCell ref="L196:M196"/>
    <mergeCell ref="A195:B195"/>
    <mergeCell ref="C195:D195"/>
    <mergeCell ref="E195:F195"/>
    <mergeCell ref="G195:H195"/>
    <mergeCell ref="L195:M195"/>
    <mergeCell ref="A194:B194"/>
    <mergeCell ref="C194:D194"/>
    <mergeCell ref="E194:F194"/>
    <mergeCell ref="G194:H194"/>
    <mergeCell ref="L194:M194"/>
    <mergeCell ref="A193:B193"/>
    <mergeCell ref="C193:D193"/>
    <mergeCell ref="E193:F193"/>
    <mergeCell ref="G193:H193"/>
    <mergeCell ref="L193:M193"/>
    <mergeCell ref="A192:B192"/>
    <mergeCell ref="C192:D192"/>
    <mergeCell ref="E192:F192"/>
    <mergeCell ref="G192:H192"/>
    <mergeCell ref="L192:M192"/>
    <mergeCell ref="A191:B191"/>
    <mergeCell ref="C191:D191"/>
    <mergeCell ref="E191:F191"/>
    <mergeCell ref="G191:H191"/>
    <mergeCell ref="L191:M191"/>
    <mergeCell ref="A190:B190"/>
    <mergeCell ref="C190:D190"/>
    <mergeCell ref="E190:F190"/>
    <mergeCell ref="G190:H190"/>
    <mergeCell ref="L190:M190"/>
    <mergeCell ref="A189:B189"/>
    <mergeCell ref="C189:D189"/>
    <mergeCell ref="E189:F189"/>
    <mergeCell ref="G189:H189"/>
    <mergeCell ref="L189:M189"/>
    <mergeCell ref="A188:B188"/>
    <mergeCell ref="C188:D188"/>
    <mergeCell ref="E188:F188"/>
    <mergeCell ref="G188:H188"/>
    <mergeCell ref="L188:M188"/>
    <mergeCell ref="A187:B187"/>
    <mergeCell ref="C187:D187"/>
    <mergeCell ref="E187:F187"/>
    <mergeCell ref="G187:H187"/>
    <mergeCell ref="L187:M187"/>
    <mergeCell ref="A186:B186"/>
    <mergeCell ref="C186:D186"/>
    <mergeCell ref="E186:F186"/>
    <mergeCell ref="G186:H186"/>
    <mergeCell ref="L186:M186"/>
    <mergeCell ref="A185:B185"/>
    <mergeCell ref="C185:D185"/>
    <mergeCell ref="E185:F185"/>
    <mergeCell ref="G185:H185"/>
    <mergeCell ref="L185:M185"/>
    <mergeCell ref="A184:B184"/>
    <mergeCell ref="C184:D184"/>
    <mergeCell ref="E184:F184"/>
    <mergeCell ref="G184:H184"/>
    <mergeCell ref="L184:M184"/>
    <mergeCell ref="A183:B183"/>
    <mergeCell ref="C183:D183"/>
    <mergeCell ref="E183:F183"/>
    <mergeCell ref="G183:H183"/>
    <mergeCell ref="L183:M183"/>
    <mergeCell ref="A182:B182"/>
    <mergeCell ref="C182:D182"/>
    <mergeCell ref="E182:F182"/>
    <mergeCell ref="G182:H182"/>
    <mergeCell ref="L182:M182"/>
    <mergeCell ref="A181:B181"/>
    <mergeCell ref="C181:D181"/>
    <mergeCell ref="E181:F181"/>
    <mergeCell ref="G181:H181"/>
    <mergeCell ref="L181:M181"/>
    <mergeCell ref="A180:B180"/>
    <mergeCell ref="C180:D180"/>
    <mergeCell ref="E180:F180"/>
    <mergeCell ref="G180:H180"/>
    <mergeCell ref="L180:M180"/>
    <mergeCell ref="A179:B179"/>
    <mergeCell ref="C179:D179"/>
    <mergeCell ref="E179:F179"/>
    <mergeCell ref="G179:H179"/>
    <mergeCell ref="L179:M179"/>
    <mergeCell ref="A178:B178"/>
    <mergeCell ref="C178:D178"/>
    <mergeCell ref="E178:F178"/>
    <mergeCell ref="G178:H178"/>
    <mergeCell ref="L178:M178"/>
    <mergeCell ref="A177:B177"/>
    <mergeCell ref="C177:D177"/>
    <mergeCell ref="E177:F177"/>
    <mergeCell ref="G177:H177"/>
    <mergeCell ref="L177:M177"/>
    <mergeCell ref="A176:B176"/>
    <mergeCell ref="C176:D176"/>
    <mergeCell ref="E176:F176"/>
    <mergeCell ref="G176:H176"/>
    <mergeCell ref="L176:M176"/>
    <mergeCell ref="A175:B175"/>
    <mergeCell ref="C175:D175"/>
    <mergeCell ref="E175:F175"/>
    <mergeCell ref="G175:H175"/>
    <mergeCell ref="L175:M175"/>
    <mergeCell ref="A174:B174"/>
    <mergeCell ref="C174:D174"/>
    <mergeCell ref="E174:F174"/>
    <mergeCell ref="G174:H174"/>
    <mergeCell ref="L174:M174"/>
    <mergeCell ref="A173:B173"/>
    <mergeCell ref="C173:D173"/>
    <mergeCell ref="E173:F173"/>
    <mergeCell ref="G173:H173"/>
    <mergeCell ref="L173:M173"/>
    <mergeCell ref="A172:B172"/>
    <mergeCell ref="C172:D172"/>
    <mergeCell ref="E172:F172"/>
    <mergeCell ref="G172:H172"/>
    <mergeCell ref="L172:M172"/>
    <mergeCell ref="A171:B171"/>
    <mergeCell ref="C171:D171"/>
    <mergeCell ref="E171:F171"/>
    <mergeCell ref="G171:H171"/>
    <mergeCell ref="L171:M171"/>
    <mergeCell ref="A170:B170"/>
    <mergeCell ref="C170:D170"/>
    <mergeCell ref="E170:F170"/>
    <mergeCell ref="G170:H170"/>
    <mergeCell ref="L170:M170"/>
    <mergeCell ref="A169:B169"/>
    <mergeCell ref="C169:D169"/>
    <mergeCell ref="E169:F169"/>
    <mergeCell ref="G169:H169"/>
    <mergeCell ref="L169:M169"/>
    <mergeCell ref="A168:B168"/>
    <mergeCell ref="C168:D168"/>
    <mergeCell ref="E168:F168"/>
    <mergeCell ref="G168:H168"/>
    <mergeCell ref="L168:M168"/>
    <mergeCell ref="A167:B167"/>
    <mergeCell ref="C167:D167"/>
    <mergeCell ref="E167:F167"/>
    <mergeCell ref="G167:H167"/>
    <mergeCell ref="L167:M167"/>
    <mergeCell ref="A163:B163"/>
    <mergeCell ref="C163:D163"/>
    <mergeCell ref="E163:F163"/>
    <mergeCell ref="G163:H163"/>
    <mergeCell ref="L163:M163"/>
    <mergeCell ref="A162:B162"/>
    <mergeCell ref="C162:D162"/>
    <mergeCell ref="E162:F162"/>
    <mergeCell ref="G162:H162"/>
    <mergeCell ref="L162:M162"/>
    <mergeCell ref="A161:B161"/>
    <mergeCell ref="C161:D161"/>
    <mergeCell ref="E161:F161"/>
    <mergeCell ref="G161:H161"/>
    <mergeCell ref="L161:M161"/>
    <mergeCell ref="A160:B160"/>
    <mergeCell ref="C160:D160"/>
    <mergeCell ref="E160:F160"/>
    <mergeCell ref="G160:H160"/>
    <mergeCell ref="L160:M160"/>
    <mergeCell ref="A159:B159"/>
    <mergeCell ref="C159:D159"/>
    <mergeCell ref="E159:F159"/>
    <mergeCell ref="G159:H159"/>
    <mergeCell ref="L159:M159"/>
    <mergeCell ref="A158:B158"/>
    <mergeCell ref="C158:D158"/>
    <mergeCell ref="E158:F158"/>
    <mergeCell ref="G158:H158"/>
    <mergeCell ref="L158:M158"/>
    <mergeCell ref="A157:B157"/>
    <mergeCell ref="C157:D157"/>
    <mergeCell ref="E157:F157"/>
    <mergeCell ref="G157:H157"/>
    <mergeCell ref="L157:M157"/>
    <mergeCell ref="A156:B156"/>
    <mergeCell ref="C156:D156"/>
    <mergeCell ref="E156:F156"/>
    <mergeCell ref="G156:H156"/>
    <mergeCell ref="L156:M156"/>
    <mergeCell ref="A155:B155"/>
    <mergeCell ref="C155:D155"/>
    <mergeCell ref="E155:F155"/>
    <mergeCell ref="G155:H155"/>
    <mergeCell ref="L155:M155"/>
    <mergeCell ref="A154:B154"/>
    <mergeCell ref="C154:D154"/>
    <mergeCell ref="E154:F154"/>
    <mergeCell ref="G154:H154"/>
    <mergeCell ref="L154:M154"/>
    <mergeCell ref="A153:B153"/>
    <mergeCell ref="C153:D153"/>
    <mergeCell ref="E153:F153"/>
    <mergeCell ref="G153:H153"/>
    <mergeCell ref="L153:M153"/>
    <mergeCell ref="A152:B152"/>
    <mergeCell ref="C152:D152"/>
    <mergeCell ref="E152:F152"/>
    <mergeCell ref="G152:H152"/>
    <mergeCell ref="L152:M152"/>
    <mergeCell ref="A151:B151"/>
    <mergeCell ref="C151:D151"/>
    <mergeCell ref="E151:F151"/>
    <mergeCell ref="G151:H151"/>
    <mergeCell ref="L151:M151"/>
    <mergeCell ref="A150:B150"/>
    <mergeCell ref="C150:D150"/>
    <mergeCell ref="E150:F150"/>
    <mergeCell ref="G150:H150"/>
    <mergeCell ref="L150:M150"/>
    <mergeCell ref="A149:B149"/>
    <mergeCell ref="C149:D149"/>
    <mergeCell ref="E149:F149"/>
    <mergeCell ref="G149:H149"/>
    <mergeCell ref="L149:M149"/>
    <mergeCell ref="A148:B148"/>
    <mergeCell ref="C148:D148"/>
    <mergeCell ref="E148:F148"/>
    <mergeCell ref="G148:H148"/>
    <mergeCell ref="L148:M148"/>
    <mergeCell ref="A147:B147"/>
    <mergeCell ref="C147:D147"/>
    <mergeCell ref="E147:F147"/>
    <mergeCell ref="G147:H147"/>
    <mergeCell ref="L147:M147"/>
    <mergeCell ref="A146:B146"/>
    <mergeCell ref="C146:D146"/>
    <mergeCell ref="E146:F146"/>
    <mergeCell ref="G146:H146"/>
    <mergeCell ref="L146:M146"/>
    <mergeCell ref="A145:B145"/>
    <mergeCell ref="C145:D145"/>
    <mergeCell ref="E145:F145"/>
    <mergeCell ref="G145:H145"/>
    <mergeCell ref="L145:M145"/>
    <mergeCell ref="A144:B144"/>
    <mergeCell ref="C144:D144"/>
    <mergeCell ref="E144:F144"/>
    <mergeCell ref="G144:H144"/>
    <mergeCell ref="L144:M144"/>
    <mergeCell ref="A143:B143"/>
    <mergeCell ref="C143:D143"/>
    <mergeCell ref="E143:F143"/>
    <mergeCell ref="G143:H143"/>
    <mergeCell ref="L143:M143"/>
    <mergeCell ref="A142:B142"/>
    <mergeCell ref="C142:D142"/>
    <mergeCell ref="E142:F142"/>
    <mergeCell ref="G142:H142"/>
    <mergeCell ref="L142:M142"/>
    <mergeCell ref="A141:B141"/>
    <mergeCell ref="C141:D141"/>
    <mergeCell ref="E141:F141"/>
    <mergeCell ref="G141:H141"/>
    <mergeCell ref="L141:M141"/>
    <mergeCell ref="A140:B140"/>
    <mergeCell ref="C140:D140"/>
    <mergeCell ref="E140:F140"/>
    <mergeCell ref="G140:H140"/>
    <mergeCell ref="L140:M140"/>
    <mergeCell ref="A139:B139"/>
    <mergeCell ref="C139:D139"/>
    <mergeCell ref="E139:F139"/>
    <mergeCell ref="G139:H139"/>
    <mergeCell ref="L139:M139"/>
    <mergeCell ref="A138:B138"/>
    <mergeCell ref="C138:D138"/>
    <mergeCell ref="E138:F138"/>
    <mergeCell ref="G138:H138"/>
    <mergeCell ref="L138:M138"/>
    <mergeCell ref="A137:B137"/>
    <mergeCell ref="C137:D137"/>
    <mergeCell ref="E137:F137"/>
    <mergeCell ref="G137:H137"/>
    <mergeCell ref="L137:M137"/>
    <mergeCell ref="A136:B136"/>
    <mergeCell ref="C136:D136"/>
    <mergeCell ref="E136:F136"/>
    <mergeCell ref="G136:H136"/>
    <mergeCell ref="L136:M136"/>
    <mergeCell ref="A135:B135"/>
    <mergeCell ref="C135:D135"/>
    <mergeCell ref="E135:F135"/>
    <mergeCell ref="G135:H135"/>
    <mergeCell ref="L135:M135"/>
    <mergeCell ref="A134:B134"/>
    <mergeCell ref="C134:D134"/>
    <mergeCell ref="E134:F134"/>
    <mergeCell ref="G134:H134"/>
    <mergeCell ref="L134:M134"/>
    <mergeCell ref="A133:B133"/>
    <mergeCell ref="C133:D133"/>
    <mergeCell ref="E133:F133"/>
    <mergeCell ref="G133:H133"/>
    <mergeCell ref="L133:M133"/>
    <mergeCell ref="A129:B129"/>
    <mergeCell ref="C129:D129"/>
    <mergeCell ref="E129:F129"/>
    <mergeCell ref="G129:H129"/>
    <mergeCell ref="L129:M129"/>
    <mergeCell ref="A128:B128"/>
    <mergeCell ref="C128:D128"/>
    <mergeCell ref="E128:F128"/>
    <mergeCell ref="G128:H128"/>
    <mergeCell ref="L128:M128"/>
    <mergeCell ref="A127:B127"/>
    <mergeCell ref="C127:D127"/>
    <mergeCell ref="E127:F127"/>
    <mergeCell ref="G127:H127"/>
    <mergeCell ref="L127:M127"/>
    <mergeCell ref="A126:B126"/>
    <mergeCell ref="C126:D126"/>
    <mergeCell ref="E126:F126"/>
    <mergeCell ref="G126:H126"/>
    <mergeCell ref="L126:M126"/>
    <mergeCell ref="A125:B125"/>
    <mergeCell ref="C125:D125"/>
    <mergeCell ref="E125:F125"/>
    <mergeCell ref="G125:H125"/>
    <mergeCell ref="L125:M125"/>
    <mergeCell ref="A124:B124"/>
    <mergeCell ref="C124:D124"/>
    <mergeCell ref="E124:F124"/>
    <mergeCell ref="G124:H124"/>
    <mergeCell ref="L124:M124"/>
    <mergeCell ref="A123:B123"/>
    <mergeCell ref="C123:D123"/>
    <mergeCell ref="E123:F123"/>
    <mergeCell ref="G123:H123"/>
    <mergeCell ref="L123:M123"/>
    <mergeCell ref="A122:B122"/>
    <mergeCell ref="C122:D122"/>
    <mergeCell ref="E122:F122"/>
    <mergeCell ref="G122:H122"/>
    <mergeCell ref="L122:M122"/>
    <mergeCell ref="A121:B121"/>
    <mergeCell ref="C121:D121"/>
    <mergeCell ref="E121:F121"/>
    <mergeCell ref="G121:H121"/>
    <mergeCell ref="L121:M121"/>
    <mergeCell ref="A120:B120"/>
    <mergeCell ref="C120:D120"/>
    <mergeCell ref="E120:F120"/>
    <mergeCell ref="G120:H120"/>
    <mergeCell ref="L120:M120"/>
    <mergeCell ref="A119:B119"/>
    <mergeCell ref="C119:D119"/>
    <mergeCell ref="E119:F119"/>
    <mergeCell ref="G119:H119"/>
    <mergeCell ref="L119:M119"/>
    <mergeCell ref="A118:B118"/>
    <mergeCell ref="C118:D118"/>
    <mergeCell ref="E118:F118"/>
    <mergeCell ref="G118:H118"/>
    <mergeCell ref="L118:M118"/>
    <mergeCell ref="A117:B117"/>
    <mergeCell ref="C117:D117"/>
    <mergeCell ref="E117:F117"/>
    <mergeCell ref="G117:H117"/>
    <mergeCell ref="L117:M117"/>
    <mergeCell ref="A116:B116"/>
    <mergeCell ref="C116:D116"/>
    <mergeCell ref="E116:F116"/>
    <mergeCell ref="G116:H116"/>
    <mergeCell ref="L116:M116"/>
    <mergeCell ref="A115:B115"/>
    <mergeCell ref="C115:D115"/>
    <mergeCell ref="E115:F115"/>
    <mergeCell ref="G115:H115"/>
    <mergeCell ref="L115:M115"/>
    <mergeCell ref="A114:B114"/>
    <mergeCell ref="C114:D114"/>
    <mergeCell ref="E114:F114"/>
    <mergeCell ref="G114:H114"/>
    <mergeCell ref="L114:M114"/>
    <mergeCell ref="A113:B113"/>
    <mergeCell ref="C113:D113"/>
    <mergeCell ref="E113:F113"/>
    <mergeCell ref="G113:H113"/>
    <mergeCell ref="L113:M113"/>
    <mergeCell ref="A112:B112"/>
    <mergeCell ref="C112:D112"/>
    <mergeCell ref="E112:F112"/>
    <mergeCell ref="G112:H112"/>
    <mergeCell ref="L112:M112"/>
    <mergeCell ref="A111:B111"/>
    <mergeCell ref="C111:D111"/>
    <mergeCell ref="E111:F111"/>
    <mergeCell ref="G111:H111"/>
    <mergeCell ref="L111:M111"/>
    <mergeCell ref="A110:B110"/>
    <mergeCell ref="C110:D110"/>
    <mergeCell ref="E110:F110"/>
    <mergeCell ref="G110:H110"/>
    <mergeCell ref="L110:M110"/>
    <mergeCell ref="A109:B109"/>
    <mergeCell ref="C109:D109"/>
    <mergeCell ref="E109:F109"/>
    <mergeCell ref="G109:H109"/>
    <mergeCell ref="L109:M109"/>
    <mergeCell ref="A108:B108"/>
    <mergeCell ref="C108:D108"/>
    <mergeCell ref="E108:F108"/>
    <mergeCell ref="G108:H108"/>
    <mergeCell ref="L108:M108"/>
    <mergeCell ref="A107:B107"/>
    <mergeCell ref="C107:D107"/>
    <mergeCell ref="E107:F107"/>
    <mergeCell ref="G107:H107"/>
    <mergeCell ref="L107:M107"/>
    <mergeCell ref="A106:B106"/>
    <mergeCell ref="C106:D106"/>
    <mergeCell ref="E106:F106"/>
    <mergeCell ref="G106:H106"/>
    <mergeCell ref="L106:M106"/>
    <mergeCell ref="A105:B105"/>
    <mergeCell ref="C105:D105"/>
    <mergeCell ref="E105:F105"/>
    <mergeCell ref="G105:H105"/>
    <mergeCell ref="L105:M105"/>
    <mergeCell ref="A104:B104"/>
    <mergeCell ref="C104:D104"/>
    <mergeCell ref="E104:F104"/>
    <mergeCell ref="G104:H104"/>
    <mergeCell ref="L104:M104"/>
    <mergeCell ref="A103:B103"/>
    <mergeCell ref="C103:D103"/>
    <mergeCell ref="E103:F103"/>
    <mergeCell ref="G103:H103"/>
    <mergeCell ref="L103:M103"/>
    <mergeCell ref="A102:B102"/>
    <mergeCell ref="C102:D102"/>
    <mergeCell ref="E102:F102"/>
    <mergeCell ref="G102:H102"/>
    <mergeCell ref="L102:M102"/>
    <mergeCell ref="A101:B101"/>
    <mergeCell ref="C101:D101"/>
    <mergeCell ref="E101:F101"/>
    <mergeCell ref="G101:H101"/>
    <mergeCell ref="L101:M101"/>
    <mergeCell ref="A100:B100"/>
    <mergeCell ref="C100:D100"/>
    <mergeCell ref="E100:F100"/>
    <mergeCell ref="G100:H100"/>
    <mergeCell ref="L100:M100"/>
    <mergeCell ref="A99:B99"/>
    <mergeCell ref="C99:D99"/>
    <mergeCell ref="E99:F99"/>
    <mergeCell ref="G99:H99"/>
    <mergeCell ref="L99:M99"/>
    <mergeCell ref="A1:M5"/>
    <mergeCell ref="G7:I7"/>
    <mergeCell ref="G8:I8"/>
    <mergeCell ref="J7:M7"/>
    <mergeCell ref="J8:M8"/>
  </mergeCells>
  <phoneticPr fontId="9" type="noConversion"/>
  <conditionalFormatting sqref="I100:I130">
    <cfRule type="dataBar" priority="1">
      <dataBar>
        <cfvo type="num" val="0"/>
        <cfvo type="num" val="100"/>
        <color rgb="FF8AC449"/>
      </dataBar>
      <extLst>
        <ext xmlns:x14="http://schemas.microsoft.com/office/spreadsheetml/2009/9/main" uri="{B025F937-C7B1-47D3-B67F-A62EFF666E3E}">
          <x14:id>{878162AC-BE26-4106-BB46-BE6B28C4ABEC}</x14:id>
        </ext>
      </extLst>
    </cfRule>
  </conditionalFormatting>
  <conditionalFormatting sqref="I134:I164">
    <cfRule type="dataBar" priority="2">
      <dataBar>
        <cfvo type="num" val="0"/>
        <cfvo type="num" val="100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168:I198">
    <cfRule type="dataBar" priority="3">
      <dataBar>
        <cfvo type="num" val="0"/>
        <cfvo type="num" val="100"/>
        <color rgb="FF8AC449"/>
      </dataBar>
      <extLst>
        <ext xmlns:x14="http://schemas.microsoft.com/office/spreadsheetml/2009/9/main" uri="{B025F937-C7B1-47D3-B67F-A62EFF666E3E}">
          <x14:id>{39189B53-56FB-480B-B986-6D1F1C1ADFBA}</x14:id>
        </ext>
      </extLst>
    </cfRule>
  </conditionalFormatting>
  <conditionalFormatting sqref="I202:I232">
    <cfRule type="dataBar" priority="4">
      <dataBar>
        <cfvo type="num" val="0"/>
        <cfvo type="num" val="100"/>
        <color rgb="FF8AC449"/>
      </dataBar>
      <extLst>
        <ext xmlns:x14="http://schemas.microsoft.com/office/spreadsheetml/2009/9/main" uri="{B025F937-C7B1-47D3-B67F-A62EFF666E3E}">
          <x14:id>{92C6CDB8-DAD1-4333-B5B0-E3CF9F9FBFE8}</x14:id>
        </ext>
      </extLst>
    </cfRule>
  </conditionalFormatting>
  <conditionalFormatting sqref="I236:I266">
    <cfRule type="dataBar" priority="5">
      <dataBar>
        <cfvo type="num" val="0"/>
        <cfvo type="num" val="100"/>
        <color rgb="FF8AC449"/>
      </dataBar>
      <extLst>
        <ext xmlns:x14="http://schemas.microsoft.com/office/spreadsheetml/2009/9/main" uri="{B025F937-C7B1-47D3-B67F-A62EFF666E3E}">
          <x14:id>{AFFB039C-F331-47B2-98B8-CF6E9CD9F803}</x14:id>
        </ext>
      </extLst>
    </cfRule>
  </conditionalFormatting>
  <conditionalFormatting sqref="I270:I300">
    <cfRule type="dataBar" priority="6">
      <dataBar>
        <cfvo type="num" val="0"/>
        <cfvo type="num" val="100"/>
        <color rgb="FF8AC449"/>
      </dataBar>
      <extLst>
        <ext xmlns:x14="http://schemas.microsoft.com/office/spreadsheetml/2009/9/main" uri="{B025F937-C7B1-47D3-B67F-A62EFF666E3E}">
          <x14:id>{66B6AE54-0166-4686-B515-2A2B0CA64128}</x14:id>
        </ext>
      </extLst>
    </cfRule>
  </conditionalFormatting>
  <printOptions horizontalCentered="1"/>
  <pageMargins left="0.25" right="0.25" top="0.75" bottom="0.75" header="0.3" footer="0.3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8162AC-BE26-4106-BB46-BE6B28C4ABE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I100:I130</xm:sqref>
        </x14:conditionalFormatting>
        <x14:conditionalFormatting xmlns:xm="http://schemas.microsoft.com/office/excel/2006/main">
          <x14:cfRule type="dataBar" id="{D39BF35A-12FA-4769-8252-4DC502F2A1BB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I134:I164</xm:sqref>
        </x14:conditionalFormatting>
        <x14:conditionalFormatting xmlns:xm="http://schemas.microsoft.com/office/excel/2006/main">
          <x14:cfRule type="dataBar" id="{39189B53-56FB-480B-B986-6D1F1C1ADFBA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I168:I198</xm:sqref>
        </x14:conditionalFormatting>
        <x14:conditionalFormatting xmlns:xm="http://schemas.microsoft.com/office/excel/2006/main">
          <x14:cfRule type="dataBar" id="{92C6CDB8-DAD1-4333-B5B0-E3CF9F9FBFE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I202:I232</xm:sqref>
        </x14:conditionalFormatting>
        <x14:conditionalFormatting xmlns:xm="http://schemas.microsoft.com/office/excel/2006/main">
          <x14:cfRule type="dataBar" id="{AFFB039C-F331-47B2-98B8-CF6E9CD9F80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I236:I266</xm:sqref>
        </x14:conditionalFormatting>
        <x14:conditionalFormatting xmlns:xm="http://schemas.microsoft.com/office/excel/2006/main">
          <x14:cfRule type="dataBar" id="{66B6AE54-0166-4686-B515-2A2B0CA6412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I270:I300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workbookViewId="0"/>
  </sheetViews>
  <sheetFormatPr defaultRowHeight="16.5" x14ac:dyDescent="0.3"/>
  <sheetData>
    <row r="1" spans="1:3" x14ac:dyDescent="0.3">
      <c r="A1" t="s">
        <v>111</v>
      </c>
      <c r="B1" t="s">
        <v>21</v>
      </c>
      <c r="C1" t="s">
        <v>22</v>
      </c>
    </row>
    <row r="2" spans="1:3" x14ac:dyDescent="0.3">
      <c r="A2" t="s">
        <v>9</v>
      </c>
      <c r="B2">
        <v>30.6</v>
      </c>
      <c r="C2">
        <v>90.2</v>
      </c>
    </row>
    <row r="3" spans="1:3" x14ac:dyDescent="0.3">
      <c r="A3" t="s">
        <v>10</v>
      </c>
      <c r="B3">
        <v>25.7</v>
      </c>
      <c r="C3">
        <v>81.7</v>
      </c>
    </row>
    <row r="4" spans="1:3" x14ac:dyDescent="0.3">
      <c r="A4" t="s">
        <v>11</v>
      </c>
      <c r="B4">
        <v>21.7</v>
      </c>
      <c r="C4">
        <v>55.2</v>
      </c>
    </row>
    <row r="5" spans="1:3" x14ac:dyDescent="0.3">
      <c r="A5" t="s">
        <v>12</v>
      </c>
      <c r="B5">
        <v>25.6</v>
      </c>
      <c r="C5">
        <v>65.2</v>
      </c>
    </row>
    <row r="6" spans="1:3" x14ac:dyDescent="0.3">
      <c r="A6" t="s">
        <v>13</v>
      </c>
      <c r="B6">
        <v>24.5</v>
      </c>
      <c r="C6">
        <v>60.3</v>
      </c>
    </row>
    <row r="7" spans="1:3" x14ac:dyDescent="0.3">
      <c r="A7" t="s">
        <v>14</v>
      </c>
      <c r="B7">
        <v>18.5</v>
      </c>
      <c r="C7">
        <v>50.2</v>
      </c>
    </row>
    <row r="8" spans="1:3" x14ac:dyDescent="0.3">
      <c r="A8" t="s">
        <v>15</v>
      </c>
      <c r="B8">
        <v>18.2</v>
      </c>
      <c r="C8">
        <v>46.4</v>
      </c>
    </row>
    <row r="9" spans="1:3" x14ac:dyDescent="0.3">
      <c r="A9" t="s">
        <v>16</v>
      </c>
      <c r="B9">
        <v>26</v>
      </c>
      <c r="C9">
        <v>74.7</v>
      </c>
    </row>
    <row r="10" spans="1:3" x14ac:dyDescent="0.3">
      <c r="A10" t="s">
        <v>17</v>
      </c>
      <c r="B10">
        <v>24.1</v>
      </c>
      <c r="C10">
        <v>61.6</v>
      </c>
    </row>
    <row r="11" spans="1:3" x14ac:dyDescent="0.3">
      <c r="A11" t="s">
        <v>18</v>
      </c>
      <c r="B11">
        <v>29.1</v>
      </c>
      <c r="C11">
        <v>73.400000000000006</v>
      </c>
    </row>
    <row r="12" spans="1:3" x14ac:dyDescent="0.3">
      <c r="A12" t="s">
        <v>19</v>
      </c>
      <c r="B12">
        <v>22.1</v>
      </c>
      <c r="C12">
        <v>62.7</v>
      </c>
    </row>
    <row r="13" spans="1:3" x14ac:dyDescent="0.3">
      <c r="A13" t="s">
        <v>20</v>
      </c>
      <c r="B13">
        <v>20.5</v>
      </c>
      <c r="C13">
        <v>53.7</v>
      </c>
    </row>
    <row r="14" spans="1:3" x14ac:dyDescent="0.3">
      <c r="A14" t="s">
        <v>23</v>
      </c>
      <c r="B14">
        <v>16.899999999999999</v>
      </c>
      <c r="C14">
        <v>48.2</v>
      </c>
    </row>
    <row r="15" spans="1:3" x14ac:dyDescent="0.3">
      <c r="A15" t="s">
        <v>24</v>
      </c>
      <c r="B15">
        <v>16.899999999999999</v>
      </c>
      <c r="C15">
        <v>48.4</v>
      </c>
    </row>
    <row r="16" spans="1:3" x14ac:dyDescent="0.3">
      <c r="A16" t="s">
        <v>25</v>
      </c>
      <c r="B16">
        <v>24.2</v>
      </c>
      <c r="C16">
        <v>60.2</v>
      </c>
    </row>
    <row r="17" spans="1:3" x14ac:dyDescent="0.3">
      <c r="A17" t="s">
        <v>26</v>
      </c>
      <c r="B17">
        <v>22.9</v>
      </c>
      <c r="C17">
        <v>57.6</v>
      </c>
    </row>
    <row r="18" spans="1:3" x14ac:dyDescent="0.3">
      <c r="A18" t="s">
        <v>27</v>
      </c>
      <c r="B18">
        <v>30.7</v>
      </c>
      <c r="C18">
        <v>81.2</v>
      </c>
    </row>
    <row r="19" spans="1:3" x14ac:dyDescent="0.3">
      <c r="A19" t="s">
        <v>28</v>
      </c>
      <c r="B19">
        <v>24.4</v>
      </c>
      <c r="C19">
        <v>68.3</v>
      </c>
    </row>
    <row r="20" spans="1:3" x14ac:dyDescent="0.3">
      <c r="A20" t="s">
        <v>29</v>
      </c>
      <c r="B20">
        <v>22.3</v>
      </c>
      <c r="C20">
        <v>59.9</v>
      </c>
    </row>
  </sheetData>
  <phoneticPr fontId="9" type="noConversion"/>
  <printOptions horizontalCentered="1"/>
  <pageMargins left="0.25" right="0.2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workbookViewId="0"/>
  </sheetViews>
  <sheetFormatPr defaultRowHeight="16.5" x14ac:dyDescent="0.3"/>
  <sheetData>
    <row r="1" spans="1:3" x14ac:dyDescent="0.3">
      <c r="A1" t="s">
        <v>111</v>
      </c>
      <c r="B1" t="s">
        <v>21</v>
      </c>
      <c r="C1" t="s">
        <v>22</v>
      </c>
    </row>
    <row r="2" spans="1:3" x14ac:dyDescent="0.3">
      <c r="A2" t="s">
        <v>9</v>
      </c>
      <c r="B2">
        <v>65</v>
      </c>
      <c r="C2">
        <v>67</v>
      </c>
    </row>
    <row r="3" spans="1:3" x14ac:dyDescent="0.3">
      <c r="A3" t="s">
        <v>10</v>
      </c>
      <c r="B3">
        <v>65</v>
      </c>
      <c r="C3">
        <v>66</v>
      </c>
    </row>
    <row r="4" spans="1:3" x14ac:dyDescent="0.3">
      <c r="A4" t="s">
        <v>11</v>
      </c>
      <c r="B4">
        <v>65</v>
      </c>
      <c r="C4">
        <v>66</v>
      </c>
    </row>
    <row r="5" spans="1:3" x14ac:dyDescent="0.3">
      <c r="A5" t="s">
        <v>12</v>
      </c>
      <c r="B5">
        <v>65</v>
      </c>
      <c r="C5">
        <v>66</v>
      </c>
    </row>
    <row r="6" spans="1:3" x14ac:dyDescent="0.3">
      <c r="A6" t="s">
        <v>13</v>
      </c>
      <c r="B6">
        <v>65</v>
      </c>
      <c r="C6">
        <v>66</v>
      </c>
    </row>
    <row r="7" spans="1:3" x14ac:dyDescent="0.3">
      <c r="A7" t="s">
        <v>14</v>
      </c>
      <c r="B7">
        <v>65</v>
      </c>
      <c r="C7">
        <v>66</v>
      </c>
    </row>
    <row r="8" spans="1:3" x14ac:dyDescent="0.3">
      <c r="A8" t="s">
        <v>15</v>
      </c>
      <c r="B8">
        <v>65</v>
      </c>
      <c r="C8">
        <v>66</v>
      </c>
    </row>
    <row r="9" spans="1:3" x14ac:dyDescent="0.3">
      <c r="A9" t="s">
        <v>16</v>
      </c>
      <c r="B9">
        <v>65</v>
      </c>
      <c r="C9">
        <v>66</v>
      </c>
    </row>
    <row r="10" spans="1:3" x14ac:dyDescent="0.3">
      <c r="A10" t="s">
        <v>17</v>
      </c>
      <c r="B10">
        <v>65</v>
      </c>
      <c r="C10">
        <v>66</v>
      </c>
    </row>
    <row r="11" spans="1:3" x14ac:dyDescent="0.3">
      <c r="A11" t="s">
        <v>18</v>
      </c>
      <c r="B11">
        <v>65</v>
      </c>
      <c r="C11">
        <v>66</v>
      </c>
    </row>
    <row r="12" spans="1:3" x14ac:dyDescent="0.3">
      <c r="A12" t="s">
        <v>19</v>
      </c>
      <c r="B12">
        <v>65</v>
      </c>
      <c r="C12">
        <v>66</v>
      </c>
    </row>
    <row r="13" spans="1:3" x14ac:dyDescent="0.3">
      <c r="A13" t="s">
        <v>20</v>
      </c>
      <c r="B13">
        <v>65</v>
      </c>
      <c r="C13">
        <v>66</v>
      </c>
    </row>
    <row r="14" spans="1:3" x14ac:dyDescent="0.3">
      <c r="A14" t="s">
        <v>23</v>
      </c>
      <c r="B14">
        <v>65</v>
      </c>
      <c r="C14">
        <v>66</v>
      </c>
    </row>
    <row r="15" spans="1:3" x14ac:dyDescent="0.3">
      <c r="A15" t="s">
        <v>24</v>
      </c>
      <c r="B15">
        <v>65</v>
      </c>
      <c r="C15">
        <v>66</v>
      </c>
    </row>
    <row r="16" spans="1:3" x14ac:dyDescent="0.3">
      <c r="A16" t="s">
        <v>25</v>
      </c>
      <c r="B16">
        <v>65</v>
      </c>
      <c r="C16">
        <v>66</v>
      </c>
    </row>
    <row r="17" spans="1:3" x14ac:dyDescent="0.3">
      <c r="A17" t="s">
        <v>26</v>
      </c>
      <c r="B17">
        <v>65</v>
      </c>
      <c r="C17">
        <v>66</v>
      </c>
    </row>
    <row r="18" spans="1:3" x14ac:dyDescent="0.3">
      <c r="A18" t="s">
        <v>27</v>
      </c>
      <c r="B18">
        <v>65</v>
      </c>
      <c r="C18">
        <v>67</v>
      </c>
    </row>
    <row r="19" spans="1:3" x14ac:dyDescent="0.3">
      <c r="A19" t="s">
        <v>28</v>
      </c>
      <c r="B19">
        <v>65</v>
      </c>
      <c r="C19">
        <v>66</v>
      </c>
    </row>
    <row r="20" spans="1:3" x14ac:dyDescent="0.3">
      <c r="A20" t="s">
        <v>29</v>
      </c>
      <c r="B20">
        <v>65</v>
      </c>
      <c r="C20">
        <v>66</v>
      </c>
    </row>
  </sheetData>
  <phoneticPr fontId="9" type="noConversion"/>
  <printOptions horizontalCentered="1"/>
  <pageMargins left="0.25" right="0.2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workbookViewId="0"/>
  </sheetViews>
  <sheetFormatPr defaultRowHeight="16.5" x14ac:dyDescent="0.3"/>
  <sheetData>
    <row r="1" spans="1:3" x14ac:dyDescent="0.3">
      <c r="A1" t="s">
        <v>111</v>
      </c>
      <c r="B1" t="s">
        <v>21</v>
      </c>
      <c r="C1" t="s">
        <v>22</v>
      </c>
    </row>
    <row r="2" spans="1:3" x14ac:dyDescent="0.3">
      <c r="A2" t="s">
        <v>9</v>
      </c>
      <c r="B2">
        <v>15.4</v>
      </c>
      <c r="C2">
        <v>8249</v>
      </c>
    </row>
    <row r="3" spans="1:3" x14ac:dyDescent="0.3">
      <c r="A3" t="s">
        <v>10</v>
      </c>
      <c r="B3">
        <v>0.8</v>
      </c>
      <c r="C3">
        <v>2417</v>
      </c>
    </row>
    <row r="4" spans="1:3" x14ac:dyDescent="0.3">
      <c r="A4" t="s">
        <v>11</v>
      </c>
      <c r="B4">
        <v>0.2</v>
      </c>
      <c r="C4">
        <v>1585</v>
      </c>
    </row>
    <row r="5" spans="1:3" x14ac:dyDescent="0.3">
      <c r="A5" t="s">
        <v>12</v>
      </c>
      <c r="B5">
        <v>1.2</v>
      </c>
      <c r="C5">
        <v>4480</v>
      </c>
    </row>
    <row r="6" spans="1:3" x14ac:dyDescent="0.3">
      <c r="A6" t="s">
        <v>13</v>
      </c>
      <c r="B6">
        <v>1.1000000000000001</v>
      </c>
      <c r="C6">
        <v>3149</v>
      </c>
    </row>
    <row r="7" spans="1:3" x14ac:dyDescent="0.3">
      <c r="A7" t="s">
        <v>14</v>
      </c>
      <c r="B7">
        <v>0.8</v>
      </c>
      <c r="C7">
        <v>3399</v>
      </c>
    </row>
    <row r="8" spans="1:3" x14ac:dyDescent="0.3">
      <c r="A8" t="s">
        <v>15</v>
      </c>
      <c r="B8">
        <v>0.7</v>
      </c>
      <c r="C8">
        <v>975</v>
      </c>
    </row>
    <row r="9" spans="1:3" x14ac:dyDescent="0.3">
      <c r="A9" t="s">
        <v>16</v>
      </c>
      <c r="B9">
        <v>0.7</v>
      </c>
      <c r="C9">
        <v>1629</v>
      </c>
    </row>
    <row r="10" spans="1:3" x14ac:dyDescent="0.3">
      <c r="A10" t="s">
        <v>17</v>
      </c>
      <c r="B10">
        <v>1.1000000000000001</v>
      </c>
      <c r="C10">
        <v>2059</v>
      </c>
    </row>
    <row r="11" spans="1:3" x14ac:dyDescent="0.3">
      <c r="A11" t="s">
        <v>18</v>
      </c>
      <c r="B11">
        <v>1.8</v>
      </c>
      <c r="C11">
        <v>3508</v>
      </c>
    </row>
    <row r="12" spans="1:3" x14ac:dyDescent="0.3">
      <c r="A12" t="s">
        <v>19</v>
      </c>
      <c r="B12">
        <v>0.9</v>
      </c>
      <c r="C12">
        <v>3611</v>
      </c>
    </row>
    <row r="13" spans="1:3" x14ac:dyDescent="0.3">
      <c r="A13" t="s">
        <v>20</v>
      </c>
      <c r="B13">
        <v>0.9</v>
      </c>
      <c r="C13">
        <v>2686</v>
      </c>
    </row>
    <row r="14" spans="1:3" x14ac:dyDescent="0.3">
      <c r="A14" t="s">
        <v>23</v>
      </c>
      <c r="B14">
        <v>0.8</v>
      </c>
      <c r="C14">
        <v>1943</v>
      </c>
    </row>
    <row r="15" spans="1:3" x14ac:dyDescent="0.3">
      <c r="A15" t="s">
        <v>24</v>
      </c>
      <c r="B15">
        <v>1</v>
      </c>
      <c r="C15">
        <v>632</v>
      </c>
    </row>
    <row r="16" spans="1:3" x14ac:dyDescent="0.3">
      <c r="A16" t="s">
        <v>25</v>
      </c>
      <c r="B16">
        <v>3.1</v>
      </c>
      <c r="C16">
        <v>29236</v>
      </c>
    </row>
    <row r="17" spans="1:3" x14ac:dyDescent="0.3">
      <c r="A17" t="s">
        <v>26</v>
      </c>
      <c r="B17">
        <v>9.1999999999999993</v>
      </c>
      <c r="C17">
        <v>8136</v>
      </c>
    </row>
    <row r="18" spans="1:3" x14ac:dyDescent="0.3">
      <c r="A18" t="s">
        <v>27</v>
      </c>
      <c r="B18">
        <v>10.3</v>
      </c>
      <c r="C18">
        <v>7304</v>
      </c>
    </row>
    <row r="19" spans="1:3" x14ac:dyDescent="0.3">
      <c r="A19" t="s">
        <v>28</v>
      </c>
      <c r="B19">
        <v>7.3</v>
      </c>
      <c r="C19">
        <v>9550</v>
      </c>
    </row>
    <row r="20" spans="1:3" x14ac:dyDescent="0.3">
      <c r="A20" t="s">
        <v>29</v>
      </c>
      <c r="B20">
        <v>6.4</v>
      </c>
      <c r="C20">
        <v>2774</v>
      </c>
    </row>
  </sheetData>
  <phoneticPr fontId="9" type="noConversion"/>
  <printOptions horizontalCentered="1"/>
  <pageMargins left="0.25" right="0.2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workbookViewId="0"/>
  </sheetViews>
  <sheetFormatPr defaultRowHeight="16.5" x14ac:dyDescent="0.3"/>
  <sheetData>
    <row r="1" spans="1:3" x14ac:dyDescent="0.3">
      <c r="A1" t="s">
        <v>111</v>
      </c>
      <c r="B1" t="s">
        <v>21</v>
      </c>
      <c r="C1" t="s">
        <v>22</v>
      </c>
    </row>
    <row r="2" spans="1:3" x14ac:dyDescent="0.3">
      <c r="A2" t="s">
        <v>9</v>
      </c>
      <c r="B2">
        <v>35958</v>
      </c>
      <c r="C2">
        <v>22593860</v>
      </c>
    </row>
    <row r="3" spans="1:3" x14ac:dyDescent="0.3">
      <c r="A3" t="s">
        <v>10</v>
      </c>
      <c r="B3">
        <v>31210.799999999999</v>
      </c>
      <c r="C3">
        <v>22291704</v>
      </c>
    </row>
    <row r="4" spans="1:3" x14ac:dyDescent="0.3">
      <c r="A4" t="s">
        <v>11</v>
      </c>
      <c r="B4">
        <v>15586</v>
      </c>
      <c r="C4">
        <v>20822216</v>
      </c>
    </row>
    <row r="5" spans="1:3" x14ac:dyDescent="0.3">
      <c r="A5" t="s">
        <v>12</v>
      </c>
      <c r="B5">
        <v>31086</v>
      </c>
      <c r="C5">
        <v>22405208</v>
      </c>
    </row>
    <row r="6" spans="1:3" x14ac:dyDescent="0.3">
      <c r="A6" t="s">
        <v>13</v>
      </c>
      <c r="B6">
        <v>27889</v>
      </c>
      <c r="C6">
        <v>23251252</v>
      </c>
    </row>
    <row r="7" spans="1:3" x14ac:dyDescent="0.3">
      <c r="A7" t="s">
        <v>14</v>
      </c>
      <c r="B7">
        <v>14789.5</v>
      </c>
      <c r="C7">
        <v>21888932</v>
      </c>
    </row>
    <row r="8" spans="1:3" x14ac:dyDescent="0.3">
      <c r="A8" t="s">
        <v>15</v>
      </c>
      <c r="B8">
        <v>13086.2</v>
      </c>
      <c r="C8">
        <v>25206738</v>
      </c>
    </row>
    <row r="9" spans="1:3" x14ac:dyDescent="0.3">
      <c r="A9" t="s">
        <v>16</v>
      </c>
      <c r="B9">
        <v>40672.5</v>
      </c>
      <c r="C9">
        <v>21328256</v>
      </c>
    </row>
    <row r="10" spans="1:3" x14ac:dyDescent="0.3">
      <c r="A10" t="s">
        <v>17</v>
      </c>
      <c r="B10">
        <v>30944.5</v>
      </c>
      <c r="C10">
        <v>22026336</v>
      </c>
    </row>
    <row r="11" spans="1:3" x14ac:dyDescent="0.3">
      <c r="A11" t="s">
        <v>18</v>
      </c>
      <c r="B11">
        <v>33353.300000000003</v>
      </c>
      <c r="C11">
        <v>13372754</v>
      </c>
    </row>
    <row r="12" spans="1:3" x14ac:dyDescent="0.3">
      <c r="A12" t="s">
        <v>19</v>
      </c>
      <c r="B12">
        <v>21385.200000000001</v>
      </c>
      <c r="C12">
        <v>23071340</v>
      </c>
    </row>
    <row r="13" spans="1:3" x14ac:dyDescent="0.3">
      <c r="A13" t="s">
        <v>20</v>
      </c>
      <c r="B13">
        <v>92347.5</v>
      </c>
      <c r="C13">
        <v>22918170</v>
      </c>
    </row>
    <row r="14" spans="1:3" x14ac:dyDescent="0.3">
      <c r="A14" t="s">
        <v>23</v>
      </c>
      <c r="B14">
        <v>92561.600000000006</v>
      </c>
      <c r="C14">
        <v>20836710</v>
      </c>
    </row>
    <row r="15" spans="1:3" x14ac:dyDescent="0.3">
      <c r="A15" t="s">
        <v>24</v>
      </c>
      <c r="B15">
        <v>98630</v>
      </c>
      <c r="C15">
        <v>26451804</v>
      </c>
    </row>
    <row r="16" spans="1:3" x14ac:dyDescent="0.3">
      <c r="A16" t="s">
        <v>25</v>
      </c>
      <c r="B16">
        <v>119870.5</v>
      </c>
      <c r="C16">
        <v>24944580</v>
      </c>
    </row>
    <row r="17" spans="1:3" x14ac:dyDescent="0.3">
      <c r="A17" t="s">
        <v>26</v>
      </c>
      <c r="B17">
        <v>122763.5</v>
      </c>
      <c r="C17">
        <v>22714158</v>
      </c>
    </row>
    <row r="18" spans="1:3" x14ac:dyDescent="0.3">
      <c r="A18" t="s">
        <v>27</v>
      </c>
      <c r="B18">
        <v>135205.20000000001</v>
      </c>
      <c r="C18">
        <v>20612016</v>
      </c>
    </row>
    <row r="19" spans="1:3" x14ac:dyDescent="0.3">
      <c r="A19" t="s">
        <v>28</v>
      </c>
      <c r="B19">
        <v>148488</v>
      </c>
      <c r="C19">
        <v>23579044</v>
      </c>
    </row>
    <row r="20" spans="1:3" x14ac:dyDescent="0.3">
      <c r="A20" t="s">
        <v>29</v>
      </c>
      <c r="B20">
        <v>101078.9</v>
      </c>
      <c r="C20">
        <v>20177736</v>
      </c>
    </row>
  </sheetData>
  <phoneticPr fontId="9" type="noConversion"/>
  <printOptions horizontalCentered="1"/>
  <pageMargins left="0.25" right="0.25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workbookViewId="0"/>
  </sheetViews>
  <sheetFormatPr defaultRowHeight="16.5" x14ac:dyDescent="0.3"/>
  <sheetData>
    <row r="1" spans="1:3" x14ac:dyDescent="0.3">
      <c r="A1" t="s">
        <v>111</v>
      </c>
      <c r="B1" t="s">
        <v>21</v>
      </c>
      <c r="C1" t="s">
        <v>22</v>
      </c>
    </row>
    <row r="2" spans="1:3" x14ac:dyDescent="0.3">
      <c r="A2" t="s">
        <v>9</v>
      </c>
      <c r="B2">
        <v>1542816</v>
      </c>
      <c r="C2">
        <v>23824604</v>
      </c>
    </row>
    <row r="3" spans="1:3" x14ac:dyDescent="0.3">
      <c r="A3" t="s">
        <v>10</v>
      </c>
      <c r="B3">
        <v>1551200.8</v>
      </c>
      <c r="C3">
        <v>23956048</v>
      </c>
    </row>
    <row r="4" spans="1:3" x14ac:dyDescent="0.3">
      <c r="A4" t="s">
        <v>11</v>
      </c>
      <c r="B4">
        <v>1117849.1000000001</v>
      </c>
      <c r="C4">
        <v>4295734300</v>
      </c>
    </row>
    <row r="5" spans="1:3" x14ac:dyDescent="0.3">
      <c r="A5" t="s">
        <v>12</v>
      </c>
      <c r="B5">
        <v>1491312.8</v>
      </c>
      <c r="C5">
        <v>23804648</v>
      </c>
    </row>
    <row r="6" spans="1:3" x14ac:dyDescent="0.3">
      <c r="A6" t="s">
        <v>13</v>
      </c>
      <c r="B6">
        <v>1467389.9</v>
      </c>
      <c r="C6">
        <v>24799724</v>
      </c>
    </row>
    <row r="7" spans="1:3" x14ac:dyDescent="0.3">
      <c r="A7" t="s">
        <v>14</v>
      </c>
      <c r="B7">
        <v>1071368</v>
      </c>
      <c r="C7">
        <v>23037500</v>
      </c>
    </row>
    <row r="8" spans="1:3" x14ac:dyDescent="0.3">
      <c r="A8" t="s">
        <v>15</v>
      </c>
      <c r="B8">
        <v>1130564.2</v>
      </c>
      <c r="C8">
        <v>26489202</v>
      </c>
    </row>
    <row r="9" spans="1:3" x14ac:dyDescent="0.3">
      <c r="A9" t="s">
        <v>16</v>
      </c>
      <c r="B9">
        <v>1490312.8</v>
      </c>
      <c r="C9">
        <v>22555974</v>
      </c>
    </row>
    <row r="10" spans="1:3" x14ac:dyDescent="0.3">
      <c r="A10" t="s">
        <v>17</v>
      </c>
      <c r="B10">
        <v>1451935.8</v>
      </c>
      <c r="C10">
        <v>23459698</v>
      </c>
    </row>
    <row r="11" spans="1:3" x14ac:dyDescent="0.3">
      <c r="A11" t="s">
        <v>18</v>
      </c>
      <c r="B11">
        <v>1577802.9</v>
      </c>
      <c r="C11">
        <v>15327171</v>
      </c>
    </row>
    <row r="12" spans="1:3" x14ac:dyDescent="0.3">
      <c r="A12" t="s">
        <v>19</v>
      </c>
      <c r="B12">
        <v>1488143.9</v>
      </c>
      <c r="C12">
        <v>24516684</v>
      </c>
    </row>
    <row r="13" spans="1:3" x14ac:dyDescent="0.3">
      <c r="A13" t="s">
        <v>20</v>
      </c>
      <c r="B13">
        <v>1374831.5</v>
      </c>
      <c r="C13">
        <v>24489474</v>
      </c>
    </row>
    <row r="14" spans="1:3" x14ac:dyDescent="0.3">
      <c r="A14" t="s">
        <v>23</v>
      </c>
      <c r="B14">
        <v>1213884</v>
      </c>
      <c r="C14">
        <v>22075632</v>
      </c>
    </row>
    <row r="15" spans="1:3" x14ac:dyDescent="0.3">
      <c r="A15" t="s">
        <v>24</v>
      </c>
      <c r="B15">
        <v>1220059</v>
      </c>
      <c r="C15">
        <v>28012644</v>
      </c>
    </row>
    <row r="16" spans="1:3" x14ac:dyDescent="0.3">
      <c r="A16" t="s">
        <v>25</v>
      </c>
      <c r="B16">
        <v>1587785.2</v>
      </c>
      <c r="C16">
        <v>26235168</v>
      </c>
    </row>
    <row r="17" spans="1:3" x14ac:dyDescent="0.3">
      <c r="A17" t="s">
        <v>26</v>
      </c>
      <c r="B17">
        <v>1643823.9</v>
      </c>
      <c r="C17">
        <v>24136144</v>
      </c>
    </row>
    <row r="18" spans="1:3" x14ac:dyDescent="0.3">
      <c r="A18" t="s">
        <v>27</v>
      </c>
      <c r="B18">
        <v>1856120.2</v>
      </c>
      <c r="C18">
        <v>22026326</v>
      </c>
    </row>
    <row r="19" spans="1:3" x14ac:dyDescent="0.3">
      <c r="A19" t="s">
        <v>28</v>
      </c>
      <c r="B19">
        <v>1774592.2</v>
      </c>
      <c r="C19">
        <v>24884376</v>
      </c>
    </row>
    <row r="20" spans="1:3" x14ac:dyDescent="0.3">
      <c r="A20" t="s">
        <v>29</v>
      </c>
      <c r="B20">
        <v>1591915.4</v>
      </c>
      <c r="C20">
        <v>21576716</v>
      </c>
    </row>
  </sheetData>
  <phoneticPr fontId="9" type="noConversion"/>
  <printOptions horizontalCentered="1"/>
  <pageMargins left="0.25" right="0.2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Report</vt:lpstr>
      <vt:lpstr>27cpu</vt:lpstr>
      <vt:lpstr>27totalmemsize</vt:lpstr>
      <vt:lpstr>27gc cr anti locks shrunk</vt:lpstr>
      <vt:lpstr>27physical reads</vt:lpstr>
      <vt:lpstr>27session logical reads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Nicepay</cp:lastModifiedBy>
  <dcterms:modified xsi:type="dcterms:W3CDTF">2026-06-19T08:41:31Z</dcterms:modified>
</cp:coreProperties>
</file>